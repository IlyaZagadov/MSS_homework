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gerar\OneDrive\Рабочий стол\"/>
    </mc:Choice>
  </mc:AlternateContent>
  <bookViews>
    <workbookView xWindow="930" yWindow="0" windowWidth="27870" windowHeight="12480" activeTab="1"/>
  </bookViews>
  <sheets>
    <sheet name="Явная схема" sheetId="1" r:id="rId1"/>
    <sheet name="Неявная схема" sheetId="4" r:id="rId2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1" l="1"/>
  <c r="AJ13" i="1"/>
  <c r="F13" i="1"/>
  <c r="AJ13" i="4"/>
  <c r="F13" i="4"/>
  <c r="C5" i="4" l="1"/>
  <c r="AH22" i="4" s="1"/>
  <c r="H5" i="1"/>
  <c r="F21" i="4"/>
  <c r="AJ16" i="4"/>
  <c r="C4" i="4"/>
  <c r="C15" i="4" s="1"/>
  <c r="C16" i="4" l="1"/>
  <c r="C17" i="4"/>
  <c r="G22" i="4"/>
  <c r="K22" i="4"/>
  <c r="O22" i="4"/>
  <c r="S22" i="4"/>
  <c r="W22" i="4"/>
  <c r="AA22" i="4"/>
  <c r="AE22" i="4"/>
  <c r="AI22" i="4"/>
  <c r="H22" i="4"/>
  <c r="L22" i="4"/>
  <c r="P22" i="4"/>
  <c r="T22" i="4"/>
  <c r="X22" i="4"/>
  <c r="AB22" i="4"/>
  <c r="AF22" i="4"/>
  <c r="AG22" i="4"/>
  <c r="I22" i="4"/>
  <c r="M22" i="4"/>
  <c r="Q22" i="4"/>
  <c r="U22" i="4"/>
  <c r="Y22" i="4"/>
  <c r="AC22" i="4"/>
  <c r="G12" i="4"/>
  <c r="H12" i="4" s="1"/>
  <c r="I12" i="4" s="1"/>
  <c r="J12" i="4" s="1"/>
  <c r="K12" i="4" s="1"/>
  <c r="L12" i="4" s="1"/>
  <c r="M12" i="4" s="1"/>
  <c r="N12" i="4" s="1"/>
  <c r="O12" i="4" s="1"/>
  <c r="P12" i="4" s="1"/>
  <c r="Q12" i="4" s="1"/>
  <c r="R12" i="4" s="1"/>
  <c r="S12" i="4" s="1"/>
  <c r="T12" i="4" s="1"/>
  <c r="U12" i="4" s="1"/>
  <c r="V12" i="4" s="1"/>
  <c r="W12" i="4" s="1"/>
  <c r="X12" i="4" s="1"/>
  <c r="Y12" i="4" s="1"/>
  <c r="Z12" i="4" s="1"/>
  <c r="AA12" i="4" s="1"/>
  <c r="AB12" i="4" s="1"/>
  <c r="AC12" i="4" s="1"/>
  <c r="AD12" i="4" s="1"/>
  <c r="AE12" i="4" s="1"/>
  <c r="AF12" i="4" s="1"/>
  <c r="AG12" i="4" s="1"/>
  <c r="AH12" i="4" s="1"/>
  <c r="AI12" i="4" s="1"/>
  <c r="AJ12" i="4" s="1"/>
  <c r="F22" i="4"/>
  <c r="J22" i="4"/>
  <c r="N22" i="4"/>
  <c r="R22" i="4"/>
  <c r="V22" i="4"/>
  <c r="Z22" i="4"/>
  <c r="AD22" i="4"/>
  <c r="H16" i="1"/>
  <c r="G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C4" i="1"/>
  <c r="G21" i="4" l="1"/>
  <c r="G20" i="4"/>
  <c r="H20" i="4"/>
  <c r="I20" i="4" l="1"/>
  <c r="H21" i="4"/>
  <c r="I21" i="4" s="1"/>
  <c r="J21" i="4" s="1"/>
  <c r="J20" i="4" l="1"/>
  <c r="K20" i="4" l="1"/>
  <c r="K21" i="4"/>
  <c r="L21" i="4" s="1"/>
  <c r="L20" i="4" l="1"/>
  <c r="M20" i="4" l="1"/>
  <c r="M21" i="4"/>
  <c r="N21" i="4" s="1"/>
  <c r="N20" i="4" l="1"/>
  <c r="O20" i="4" l="1"/>
  <c r="O21" i="4"/>
  <c r="P21" i="4" s="1"/>
  <c r="P20" i="4" l="1"/>
  <c r="Q20" i="4" l="1"/>
  <c r="Q21" i="4"/>
  <c r="R21" i="4" s="1"/>
  <c r="R20" i="4" l="1"/>
  <c r="S20" i="4" l="1"/>
  <c r="S21" i="4"/>
  <c r="T21" i="4" s="1"/>
  <c r="T20" i="4" l="1"/>
  <c r="U21" i="4" s="1"/>
  <c r="U20" i="4" l="1"/>
  <c r="V20" i="4" l="1"/>
  <c r="V21" i="4"/>
  <c r="W21" i="4" s="1"/>
  <c r="W20" i="4" l="1"/>
  <c r="X20" i="4" l="1"/>
  <c r="X21" i="4"/>
  <c r="Y21" i="4" s="1"/>
  <c r="Y20" i="4" l="1"/>
  <c r="Z21" i="4" s="1"/>
  <c r="Z20" i="4" l="1"/>
  <c r="AA20" i="4" l="1"/>
  <c r="AA21" i="4"/>
  <c r="AB21" i="4" s="1"/>
  <c r="AB20" i="4" l="1"/>
  <c r="AC20" i="4" l="1"/>
  <c r="AC21" i="4"/>
  <c r="AD21" i="4" s="1"/>
  <c r="AD20" i="4" l="1"/>
  <c r="AE20" i="4" l="1"/>
  <c r="AE21" i="4"/>
  <c r="AF21" i="4" s="1"/>
  <c r="AF20" i="4" l="1"/>
  <c r="AG20" i="4" l="1"/>
  <c r="AG21" i="4"/>
  <c r="AH20" i="4" l="1"/>
  <c r="AH21" i="4"/>
  <c r="AI21" i="4" l="1"/>
  <c r="AI20" i="4"/>
  <c r="AI16" i="4" l="1"/>
  <c r="AH16" i="4" s="1"/>
  <c r="AG16" i="4" s="1"/>
  <c r="AF16" i="4" s="1"/>
  <c r="AE16" i="4" s="1"/>
  <c r="AD16" i="4" s="1"/>
  <c r="AC16" i="4" s="1"/>
  <c r="AB16" i="4" s="1"/>
  <c r="AA16" i="4" s="1"/>
  <c r="Z16" i="4" s="1"/>
  <c r="Y16" i="4" s="1"/>
  <c r="X16" i="4" s="1"/>
  <c r="W16" i="4" s="1"/>
  <c r="V16" i="4" s="1"/>
  <c r="U16" i="4" s="1"/>
  <c r="T16" i="4" s="1"/>
  <c r="S16" i="4" s="1"/>
  <c r="R16" i="4" s="1"/>
  <c r="Q16" i="4" s="1"/>
  <c r="P16" i="4" s="1"/>
  <c r="O16" i="4" s="1"/>
  <c r="N16" i="4" s="1"/>
  <c r="M16" i="4" s="1"/>
  <c r="L16" i="4" s="1"/>
  <c r="K16" i="4" s="1"/>
  <c r="J16" i="4" s="1"/>
  <c r="I16" i="4" s="1"/>
  <c r="H16" i="4" s="1"/>
  <c r="G16" i="4" s="1"/>
</calcChain>
</file>

<file path=xl/sharedStrings.xml><?xml version="1.0" encoding="utf-8"?>
<sst xmlns="http://schemas.openxmlformats.org/spreadsheetml/2006/main" count="30" uniqueCount="17">
  <si>
    <t>L</t>
  </si>
  <si>
    <t>dx</t>
  </si>
  <si>
    <t>dt</t>
  </si>
  <si>
    <t>t</t>
  </si>
  <si>
    <t>Cp</t>
  </si>
  <si>
    <t>r0</t>
  </si>
  <si>
    <t>lamda</t>
  </si>
  <si>
    <t>T</t>
  </si>
  <si>
    <t>T_start</t>
  </si>
  <si>
    <t>T_end</t>
  </si>
  <si>
    <t>T_iter</t>
  </si>
  <si>
    <t>A</t>
  </si>
  <si>
    <t>B</t>
  </si>
  <si>
    <t>C</t>
  </si>
  <si>
    <t>α</t>
  </si>
  <si>
    <t>betta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</si>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</sst>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0"/>
    <numFmt numFmtId="165" formatCode="0.E+00"/>
    <numFmt numFmtId="166" formatCode="0.0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1" xfId="0" applyNumberFormat="1" applyBorder="1"/>
    <xf numFmtId="0" fontId="0" fillId="0" borderId="0" xfId="0" applyAlignment="1">
      <alignment horizontal="center"/>
    </xf>
    <xf numFmtId="165" fontId="0" fillId="0" borderId="0" xfId="0" applyNumberFormat="1"/>
    <xf numFmtId="0" fontId="1" fillId="0" borderId="0" xfId="0" applyFont="1"/>
    <xf numFmtId="1" fontId="0" fillId="0" borderId="0" xfId="0" applyNumberFormat="1"/>
    <xf numFmtId="166" fontId="0" fillId="0" borderId="1" xfId="0" applyNumberForma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17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291.2251941303399</c:v>
                </c:pt>
                <c:pt idx="2">
                  <c:v>282.49648793052575</c:v>
                </c:pt>
                <c:pt idx="3">
                  <c:v>273.76778173071159</c:v>
                </c:pt>
                <c:pt idx="4">
                  <c:v>265.17535427020289</c:v>
                </c:pt>
                <c:pt idx="5">
                  <c:v>256.58292680969419</c:v>
                </c:pt>
                <c:pt idx="6">
                  <c:v>248.21098559265468</c:v>
                </c:pt>
                <c:pt idx="7">
                  <c:v>239.83904437561517</c:v>
                </c:pt>
                <c:pt idx="8">
                  <c:v>231.76213771734416</c:v>
                </c:pt>
                <c:pt idx="9">
                  <c:v>223.68523105907315</c:v>
                </c:pt>
                <c:pt idx="10">
                  <c:v>215.96498657194783</c:v>
                </c:pt>
                <c:pt idx="11">
                  <c:v>208.24474208482246</c:v>
                </c:pt>
                <c:pt idx="12">
                  <c:v>200.92717440456573</c:v>
                </c:pt>
                <c:pt idx="13">
                  <c:v>193.60960672430886</c:v>
                </c:pt>
                <c:pt idx="14">
                  <c:v>186.7231119432019</c:v>
                </c:pt>
                <c:pt idx="15">
                  <c:v>179.83661716209483</c:v>
                </c:pt>
                <c:pt idx="16">
                  <c:v>173.39074067207287</c:v>
                </c:pt>
                <c:pt idx="17">
                  <c:v>166.94486418205076</c:v>
                </c:pt>
                <c:pt idx="18">
                  <c:v>160.9298942418834</c:v>
                </c:pt>
                <c:pt idx="19">
                  <c:v>154.91492430171593</c:v>
                </c:pt>
                <c:pt idx="20">
                  <c:v>149.30232723313111</c:v>
                </c:pt>
                <c:pt idx="21">
                  <c:v>143.68973016454615</c:v>
                </c:pt>
                <c:pt idx="22">
                  <c:v>138.43340629900229</c:v>
                </c:pt>
                <c:pt idx="23">
                  <c:v>133.17708243345834</c:v>
                </c:pt>
                <c:pt idx="24">
                  <c:v>128.21538638187857</c:v>
                </c:pt>
                <c:pt idx="25">
                  <c:v>123.25369033029871</c:v>
                </c:pt>
                <c:pt idx="26">
                  <c:v>118.51212633055583</c:v>
                </c:pt>
                <c:pt idx="27">
                  <c:v>113.77056233081288</c:v>
                </c:pt>
                <c:pt idx="28">
                  <c:v>109.16503667486619</c:v>
                </c:pt>
                <c:pt idx="29">
                  <c:v>104.55951101891945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44-4446-AF34-DB2DB1052E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609848"/>
        <c:axId val="452607888"/>
      </c:scatterChart>
      <c:valAx>
        <c:axId val="45260984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2607888"/>
        <c:crosses val="autoZero"/>
        <c:crossBetween val="midCat"/>
      </c:valAx>
      <c:valAx>
        <c:axId val="45260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2609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17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291.20150763019114</c:v>
                </c:pt>
                <c:pt idx="2">
                  <c:v>282.42639185162034</c:v>
                </c:pt>
                <c:pt idx="3">
                  <c:v>273.69777226857229</c:v>
                </c:pt>
                <c:pt idx="4">
                  <c:v>265.03825736497231</c:v>
                </c:pt>
                <c:pt idx="5">
                  <c:v>256.46969604515203</c:v>
                </c:pt>
                <c:pt idx="6">
                  <c:v>248.01293760399938</c:v>
                </c:pt>
                <c:pt idx="7">
                  <c:v>239.68760278466206</c:v>
                </c:pt>
                <c:pt idx="8">
                  <c:v>231.5118684545678</c:v>
                </c:pt>
                <c:pt idx="9">
                  <c:v>223.50226827441128</c:v>
                </c:pt>
                <c:pt idx="10">
                  <c:v>215.67351155194845</c:v>
                </c:pt>
                <c:pt idx="11">
                  <c:v>208.03832226527072</c:v>
                </c:pt>
                <c:pt idx="12">
                  <c:v>200.60730001131634</c:v>
                </c:pt>
                <c:pt idx="13">
                  <c:v>193.38880438757519</c:v>
                </c:pt>
                <c:pt idx="14">
                  <c:v>186.38886405129662</c:v>
                </c:pt>
                <c:pt idx="15">
                  <c:v>179.6111114242122</c:v>
                </c:pt>
                <c:pt idx="16">
                  <c:v>173.05674372512129</c:v>
                </c:pt>
                <c:pt idx="17">
                  <c:v>166.72451072099102</c:v>
                </c:pt>
                <c:pt idx="18">
                  <c:v>160.61072929283281</c:v>
                </c:pt>
                <c:pt idx="19">
                  <c:v>154.70932461883004</c:v>
                </c:pt>
                <c:pt idx="20">
                  <c:v>149.01189748722842</c:v>
                </c:pt>
                <c:pt idx="21">
                  <c:v>143.50781696846175</c:v>
                </c:pt>
                <c:pt idx="22">
                  <c:v>138.18433740283325</c:v>
                </c:pt>
                <c:pt idx="23">
                  <c:v>133.02673839959417</c:v>
                </c:pt>
                <c:pt idx="24">
                  <c:v>128.01848629804988</c:v>
                </c:pt>
                <c:pt idx="25">
                  <c:v>123.14141531376535</c:v>
                </c:pt>
                <c:pt idx="26">
                  <c:v>118.37592638519823</c:v>
                </c:pt>
                <c:pt idx="27">
                  <c:v>113.70120155008863</c:v>
                </c:pt>
                <c:pt idx="28">
                  <c:v>109.09543151836935</c:v>
                </c:pt>
                <c:pt idx="29">
                  <c:v>104.53605397068236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46-4FC2-AB5E-BF82D52663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608672"/>
        <c:axId val="452612200"/>
      </c:scatterChart>
      <c:valAx>
        <c:axId val="45260867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2612200"/>
        <c:crosses val="autoZero"/>
        <c:crossBetween val="midCat"/>
      </c:valAx>
      <c:valAx>
        <c:axId val="45261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2608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285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291.20150763019114</c:v>
                </c:pt>
                <c:pt idx="2">
                  <c:v>282.42639185162034</c:v>
                </c:pt>
                <c:pt idx="3">
                  <c:v>273.69777226857229</c:v>
                </c:pt>
                <c:pt idx="4">
                  <c:v>265.03825736497231</c:v>
                </c:pt>
                <c:pt idx="5">
                  <c:v>256.46969604515203</c:v>
                </c:pt>
                <c:pt idx="6">
                  <c:v>248.01293760399938</c:v>
                </c:pt>
                <c:pt idx="7">
                  <c:v>239.68760278466206</c:v>
                </c:pt>
                <c:pt idx="8">
                  <c:v>231.5118684545678</c:v>
                </c:pt>
                <c:pt idx="9">
                  <c:v>223.50226827441128</c:v>
                </c:pt>
                <c:pt idx="10">
                  <c:v>215.67351155194845</c:v>
                </c:pt>
                <c:pt idx="11">
                  <c:v>208.03832226527072</c:v>
                </c:pt>
                <c:pt idx="12">
                  <c:v>200.60730001131634</c:v>
                </c:pt>
                <c:pt idx="13">
                  <c:v>193.38880438757519</c:v>
                </c:pt>
                <c:pt idx="14">
                  <c:v>186.38886405129662</c:v>
                </c:pt>
                <c:pt idx="15">
                  <c:v>179.6111114242122</c:v>
                </c:pt>
                <c:pt idx="16">
                  <c:v>173.05674372512129</c:v>
                </c:pt>
                <c:pt idx="17">
                  <c:v>166.72451072099102</c:v>
                </c:pt>
                <c:pt idx="18">
                  <c:v>160.61072929283281</c:v>
                </c:pt>
                <c:pt idx="19">
                  <c:v>154.70932461883004</c:v>
                </c:pt>
                <c:pt idx="20">
                  <c:v>149.01189748722842</c:v>
                </c:pt>
                <c:pt idx="21">
                  <c:v>143.50781696846175</c:v>
                </c:pt>
                <c:pt idx="22">
                  <c:v>138.18433740283325</c:v>
                </c:pt>
                <c:pt idx="23">
                  <c:v>133.02673839959417</c:v>
                </c:pt>
                <c:pt idx="24">
                  <c:v>128.01848629804988</c:v>
                </c:pt>
                <c:pt idx="25">
                  <c:v>123.14141531376535</c:v>
                </c:pt>
                <c:pt idx="26">
                  <c:v>118.37592638519823</c:v>
                </c:pt>
                <c:pt idx="27">
                  <c:v>113.70120155008863</c:v>
                </c:pt>
                <c:pt idx="28">
                  <c:v>109.09543151836935</c:v>
                </c:pt>
                <c:pt idx="29">
                  <c:v>104.53605397068236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451-4B7E-AB6D-88C7A12D99DA}"/>
            </c:ext>
          </c:extLst>
        </c:ser>
        <c:ser>
          <c:idx val="1"/>
          <c:order val="1"/>
          <c:spPr>
            <a:ln w="19050" cap="rnd">
              <a:solidFill>
                <a:schemeClr val="tx1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291.2251941303399</c:v>
                </c:pt>
                <c:pt idx="2">
                  <c:v>282.49648793052575</c:v>
                </c:pt>
                <c:pt idx="3">
                  <c:v>273.76778173071159</c:v>
                </c:pt>
                <c:pt idx="4">
                  <c:v>265.17535427020289</c:v>
                </c:pt>
                <c:pt idx="5">
                  <c:v>256.58292680969419</c:v>
                </c:pt>
                <c:pt idx="6">
                  <c:v>248.21098559265468</c:v>
                </c:pt>
                <c:pt idx="7">
                  <c:v>239.83904437561517</c:v>
                </c:pt>
                <c:pt idx="8">
                  <c:v>231.76213771734416</c:v>
                </c:pt>
                <c:pt idx="9">
                  <c:v>223.68523105907315</c:v>
                </c:pt>
                <c:pt idx="10">
                  <c:v>215.96498657194783</c:v>
                </c:pt>
                <c:pt idx="11">
                  <c:v>208.24474208482246</c:v>
                </c:pt>
                <c:pt idx="12">
                  <c:v>200.92717440456573</c:v>
                </c:pt>
                <c:pt idx="13">
                  <c:v>193.60960672430886</c:v>
                </c:pt>
                <c:pt idx="14">
                  <c:v>186.7231119432019</c:v>
                </c:pt>
                <c:pt idx="15">
                  <c:v>179.83661716209483</c:v>
                </c:pt>
                <c:pt idx="16">
                  <c:v>173.39074067207287</c:v>
                </c:pt>
                <c:pt idx="17">
                  <c:v>166.94486418205076</c:v>
                </c:pt>
                <c:pt idx="18">
                  <c:v>160.9298942418834</c:v>
                </c:pt>
                <c:pt idx="19">
                  <c:v>154.91492430171593</c:v>
                </c:pt>
                <c:pt idx="20">
                  <c:v>149.30232723313111</c:v>
                </c:pt>
                <c:pt idx="21">
                  <c:v>143.68973016454615</c:v>
                </c:pt>
                <c:pt idx="22">
                  <c:v>138.43340629900229</c:v>
                </c:pt>
                <c:pt idx="23">
                  <c:v>133.17708243345834</c:v>
                </c:pt>
                <c:pt idx="24">
                  <c:v>128.21538638187857</c:v>
                </c:pt>
                <c:pt idx="25">
                  <c:v>123.25369033029871</c:v>
                </c:pt>
                <c:pt idx="26">
                  <c:v>118.51212633055583</c:v>
                </c:pt>
                <c:pt idx="27">
                  <c:v>113.77056233081288</c:v>
                </c:pt>
                <c:pt idx="28">
                  <c:v>109.16503667486619</c:v>
                </c:pt>
                <c:pt idx="29">
                  <c:v>104.55951101891945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451-4B7E-AB6D-88C7A12D9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611024"/>
        <c:axId val="452609456"/>
      </c:scatterChart>
      <c:valAx>
        <c:axId val="45261102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2609456"/>
        <c:crosses val="autoZero"/>
        <c:crossBetween val="midCat"/>
      </c:valAx>
      <c:valAx>
        <c:axId val="45260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2611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285749</xdr:colOff>
      <xdr:row>22</xdr:row>
      <xdr:rowOff>135081</xdr:rowOff>
    </xdr:from>
    <xdr:to>
      <xdr:col>12</xdr:col>
      <xdr:colOff>138545</xdr:colOff>
      <xdr:row>48</xdr:row>
      <xdr:rowOff>86590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6A7FCA1-F4A2-456B-8A8A-41F2B9AEA9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335671</xdr:colOff>
      <xdr:row>22</xdr:row>
      <xdr:rowOff>184325</xdr:rowOff>
    </xdr:from>
    <xdr:ext cx="567133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3AA430D-DAE7-4EFC-B42A-FED0E3ADF000}"/>
                </a:ext>
              </a:extLst>
            </xdr:cNvPr>
            <xdr:cNvSpPr txBox="1"/>
          </xdr:nvSpPr>
          <xdr:spPr>
            <a:xfrm>
              <a:off x="3400236" y="4375325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3AA430D-DAE7-4EFC-B42A-FED0E3ADF000}"/>
                </a:ext>
              </a:extLst>
            </xdr:cNvPr>
            <xdr:cNvSpPr txBox="1"/>
          </xdr:nvSpPr>
          <xdr:spPr>
            <a:xfrm>
              <a:off x="3400236" y="4375325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𝑇,[𝐶]</a:t>
              </a:r>
              <a:endParaRPr lang="ru-RU" sz="1800"/>
            </a:p>
          </xdr:txBody>
        </xdr:sp>
      </mc:Fallback>
    </mc:AlternateContent>
    <xdr:clientData/>
  </xdr:oneCellAnchor>
  <xdr:oneCellAnchor>
    <xdr:from>
      <xdr:col>11</xdr:col>
      <xdr:colOff>129482</xdr:colOff>
      <xdr:row>46</xdr:row>
      <xdr:rowOff>157430</xdr:rowOff>
    </xdr:from>
    <xdr:ext cx="567133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AAC513B5-F1E9-45AE-AFED-1B07C3A3E5DC}"/>
                </a:ext>
              </a:extLst>
            </xdr:cNvPr>
            <xdr:cNvSpPr txBox="1"/>
          </xdr:nvSpPr>
          <xdr:spPr>
            <a:xfrm>
              <a:off x="7021100" y="8920430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14:m>
                <m:oMath xmlns:m="http://schemas.openxmlformats.org/officeDocument/2006/math">
                  <m:r>
                    <a:rPr lang="en-US" sz="1800" b="0" i="1">
                      <a:latin typeface="Cambria Math" panose="02040503050406030204" pitchFamily="18" charset="0"/>
                    </a:rPr>
                    <m:t>,[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AAC513B5-F1E9-45AE-AFED-1B07C3A3E5DC}"/>
                </a:ext>
              </a:extLst>
            </xdr:cNvPr>
            <xdr:cNvSpPr txBox="1"/>
          </xdr:nvSpPr>
          <xdr:spPr>
            <a:xfrm>
              <a:off x="7021100" y="8920430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:r>
                <a:rPr lang="en-US" sz="1800" b="0" i="0">
                  <a:latin typeface="Cambria Math" panose="02040503050406030204" pitchFamily="18" charset="0"/>
                </a:rPr>
                <a:t>,[𝑚]</a:t>
              </a:r>
              <a:endParaRPr lang="ru-RU" sz="18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285749</xdr:colOff>
      <xdr:row>22</xdr:row>
      <xdr:rowOff>135081</xdr:rowOff>
    </xdr:from>
    <xdr:to>
      <xdr:col>12</xdr:col>
      <xdr:colOff>138545</xdr:colOff>
      <xdr:row>48</xdr:row>
      <xdr:rowOff>86590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E992BC7-28DD-41A3-A9AE-AC2DFC1E31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335671</xdr:colOff>
      <xdr:row>22</xdr:row>
      <xdr:rowOff>184325</xdr:rowOff>
    </xdr:from>
    <xdr:ext cx="567133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8B9E3AF-9F4A-4C1D-8D4B-D1F20765C1FD}"/>
                </a:ext>
              </a:extLst>
            </xdr:cNvPr>
            <xdr:cNvSpPr txBox="1"/>
          </xdr:nvSpPr>
          <xdr:spPr>
            <a:xfrm>
              <a:off x="3383671" y="4375325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8B9E3AF-9F4A-4C1D-8D4B-D1F20765C1FD}"/>
                </a:ext>
              </a:extLst>
            </xdr:cNvPr>
            <xdr:cNvSpPr txBox="1"/>
          </xdr:nvSpPr>
          <xdr:spPr>
            <a:xfrm>
              <a:off x="3383671" y="4375325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800" b="0" i="0">
                  <a:latin typeface="Cambria Math" panose="02040503050406030204" pitchFamily="18" charset="0"/>
                </a:rPr>
                <a:t>𝑇,[𝐶]</a:t>
              </a:r>
              <a:endParaRPr lang="ru-RU" sz="1800"/>
            </a:p>
          </xdr:txBody>
        </xdr:sp>
      </mc:Fallback>
    </mc:AlternateContent>
    <xdr:clientData/>
  </xdr:oneCellAnchor>
  <xdr:oneCellAnchor>
    <xdr:from>
      <xdr:col>11</xdr:col>
      <xdr:colOff>129482</xdr:colOff>
      <xdr:row>46</xdr:row>
      <xdr:rowOff>157430</xdr:rowOff>
    </xdr:from>
    <xdr:ext cx="567133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79FF46F7-2C53-4D98-B2DC-E8836DC589C0}"/>
                </a:ext>
              </a:extLst>
            </xdr:cNvPr>
            <xdr:cNvSpPr txBox="1"/>
          </xdr:nvSpPr>
          <xdr:spPr>
            <a:xfrm>
              <a:off x="7301807" y="8920430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14:m>
                <m:oMath xmlns:m="http://schemas.openxmlformats.org/officeDocument/2006/math">
                  <m:r>
                    <a:rPr lang="en-US" sz="1800" b="0" i="1">
                      <a:latin typeface="Cambria Math" panose="02040503050406030204" pitchFamily="18" charset="0"/>
                    </a:rPr>
                    <m:t>,[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79FF46F7-2C53-4D98-B2DC-E8836DC589C0}"/>
                </a:ext>
              </a:extLst>
            </xdr:cNvPr>
            <xdr:cNvSpPr txBox="1"/>
          </xdr:nvSpPr>
          <xdr:spPr>
            <a:xfrm>
              <a:off x="7301807" y="8920430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:r>
                <a:rPr lang="en-US" sz="1800" b="0" i="0">
                  <a:latin typeface="Cambria Math" panose="02040503050406030204" pitchFamily="18" charset="0"/>
                </a:rPr>
                <a:t>,[𝑚]</a:t>
              </a:r>
              <a:endParaRPr lang="ru-RU" sz="1800"/>
            </a:p>
          </xdr:txBody>
        </xdr:sp>
      </mc:Fallback>
    </mc:AlternateContent>
    <xdr:clientData/>
  </xdr:oneCellAnchor>
  <xdr:twoCellAnchor>
    <xdr:from>
      <xdr:col>17</xdr:col>
      <xdr:colOff>0</xdr:colOff>
      <xdr:row>23</xdr:row>
      <xdr:rowOff>0</xdr:rowOff>
    </xdr:from>
    <xdr:to>
      <xdr:col>24</xdr:col>
      <xdr:colOff>315439</xdr:colOff>
      <xdr:row>48</xdr:row>
      <xdr:rowOff>142009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EDB03C41-EAED-4694-AAAF-A50C26B609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16"/>
  <sheetViews>
    <sheetView topLeftCell="C1" zoomScale="80" zoomScaleNormal="80" workbookViewId="0">
      <selection activeCell="G13" sqref="G13:AI13"/>
    </sheetView>
  </sheetViews>
  <sheetFormatPr defaultRowHeight="15" x14ac:dyDescent="0.25"/>
  <cols>
    <col min="7" max="7" width="12.5703125" bestFit="1" customWidth="1"/>
  </cols>
  <sheetData>
    <row r="3" spans="2:36" x14ac:dyDescent="0.25">
      <c r="B3" s="1" t="s">
        <v>0</v>
      </c>
      <c r="C3" s="1">
        <v>0.1</v>
      </c>
    </row>
    <row r="4" spans="2:36" x14ac:dyDescent="0.25">
      <c r="B4" s="1" t="s">
        <v>1</v>
      </c>
      <c r="C4" s="1">
        <f>C3/30</f>
        <v>3.3333333333333335E-3</v>
      </c>
    </row>
    <row r="5" spans="2:36" x14ac:dyDescent="0.25">
      <c r="B5" s="1" t="s">
        <v>2</v>
      </c>
      <c r="C5" s="8">
        <f>(C8*C9*C4^2)/(2*C10)</f>
        <v>0.4333333333333334</v>
      </c>
      <c r="H5">
        <f>C5/C4</f>
        <v>130</v>
      </c>
    </row>
    <row r="6" spans="2:36" x14ac:dyDescent="0.25">
      <c r="B6" s="1" t="s">
        <v>3</v>
      </c>
      <c r="C6" s="1">
        <v>200</v>
      </c>
      <c r="D6">
        <v>0</v>
      </c>
    </row>
    <row r="7" spans="2:36" x14ac:dyDescent="0.25">
      <c r="E7">
        <v>0</v>
      </c>
    </row>
    <row r="8" spans="2:36" x14ac:dyDescent="0.25">
      <c r="B8" s="1" t="s">
        <v>4</v>
      </c>
      <c r="C8" s="1">
        <v>460</v>
      </c>
    </row>
    <row r="9" spans="2:36" x14ac:dyDescent="0.25">
      <c r="B9" s="1" t="s">
        <v>5</v>
      </c>
      <c r="C9" s="1">
        <v>7800</v>
      </c>
    </row>
    <row r="10" spans="2:36" x14ac:dyDescent="0.25">
      <c r="B10" s="1" t="s">
        <v>6</v>
      </c>
      <c r="C10" s="1">
        <v>46</v>
      </c>
    </row>
    <row r="11" spans="2:36" x14ac:dyDescent="0.25"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25">
      <c r="B12" s="1" t="s">
        <v>8</v>
      </c>
      <c r="C12" s="1">
        <v>300</v>
      </c>
      <c r="E12" t="s">
        <v>0</v>
      </c>
      <c r="F12" s="2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25">
      <c r="B13" s="1" t="s">
        <v>9</v>
      </c>
      <c r="C13" s="1">
        <v>100</v>
      </c>
      <c r="E13" t="s">
        <v>7</v>
      </c>
      <c r="F13" s="4">
        <f>C12</f>
        <v>300</v>
      </c>
      <c r="G13" s="4">
        <v>291.2251941303399</v>
      </c>
      <c r="H13" s="4">
        <v>282.49648793052575</v>
      </c>
      <c r="I13" s="4">
        <v>273.76778173071159</v>
      </c>
      <c r="J13" s="4">
        <v>265.17535427020289</v>
      </c>
      <c r="K13" s="4">
        <v>256.58292680969419</v>
      </c>
      <c r="L13" s="4">
        <v>248.21098559265468</v>
      </c>
      <c r="M13" s="4">
        <v>239.83904437561517</v>
      </c>
      <c r="N13" s="4">
        <v>231.76213771734416</v>
      </c>
      <c r="O13" s="4">
        <v>223.68523105907315</v>
      </c>
      <c r="P13" s="4">
        <v>215.96498657194783</v>
      </c>
      <c r="Q13" s="4">
        <v>208.24474208482246</v>
      </c>
      <c r="R13" s="4">
        <v>200.92717440456573</v>
      </c>
      <c r="S13" s="4">
        <v>193.60960672430886</v>
      </c>
      <c r="T13" s="4">
        <v>186.7231119432019</v>
      </c>
      <c r="U13" s="4">
        <v>179.83661716209483</v>
      </c>
      <c r="V13" s="4">
        <v>173.39074067207287</v>
      </c>
      <c r="W13" s="4">
        <v>166.94486418205076</v>
      </c>
      <c r="X13" s="4">
        <v>160.9298942418834</v>
      </c>
      <c r="Y13" s="4">
        <v>154.91492430171593</v>
      </c>
      <c r="Z13" s="4">
        <v>149.30232723313111</v>
      </c>
      <c r="AA13" s="4">
        <v>143.68973016454615</v>
      </c>
      <c r="AB13" s="4">
        <v>138.43340629900229</v>
      </c>
      <c r="AC13" s="4">
        <v>133.17708243345834</v>
      </c>
      <c r="AD13" s="4">
        <v>128.21538638187857</v>
      </c>
      <c r="AE13" s="4">
        <v>123.25369033029871</v>
      </c>
      <c r="AF13" s="4">
        <v>118.51212633055583</v>
      </c>
      <c r="AG13" s="4">
        <v>113.77056233081288</v>
      </c>
      <c r="AH13" s="4">
        <v>109.16503667486619</v>
      </c>
      <c r="AI13" s="4">
        <v>104.55951101891945</v>
      </c>
      <c r="AJ13" s="4">
        <f>C13</f>
        <v>100</v>
      </c>
    </row>
    <row r="16" spans="2:36" x14ac:dyDescent="0.25">
      <c r="E16" t="s">
        <v>10</v>
      </c>
      <c r="G16">
        <f>G13+(($C$10*$C$5)/($C$9*$C$8))*( (H13-2*G13+F13)/($C$4^2))</f>
        <v>291.24824396526287</v>
      </c>
      <c r="H16">
        <f>H13+(($C$10*$C$5)/($C$9*$C$8))*( (I13-2*H13+G13)/($C$4^2))</f>
        <v>282.49648793052575</v>
      </c>
      <c r="I16">
        <f t="shared" ref="I16:AI16" si="1">I13+(($C$10*$C$5)/($C$9*$C$8))*( (J13-2*I13+H13)/($C$4^2))</f>
        <v>273.83592110036432</v>
      </c>
      <c r="J16">
        <f t="shared" si="1"/>
        <v>265.17535427020289</v>
      </c>
      <c r="K16">
        <f t="shared" si="1"/>
        <v>256.69316993142877</v>
      </c>
      <c r="L16">
        <f t="shared" si="1"/>
        <v>248.21098559265468</v>
      </c>
      <c r="M16">
        <f t="shared" si="1"/>
        <v>239.98656165499943</v>
      </c>
      <c r="N16">
        <f t="shared" si="1"/>
        <v>231.76213771734416</v>
      </c>
      <c r="O16">
        <f t="shared" si="1"/>
        <v>223.86356214464598</v>
      </c>
      <c r="P16">
        <f t="shared" si="1"/>
        <v>215.9649865719478</v>
      </c>
      <c r="Q16">
        <f t="shared" si="1"/>
        <v>208.44608048825677</v>
      </c>
      <c r="R16">
        <f t="shared" si="1"/>
        <v>200.92717440456568</v>
      </c>
      <c r="S16">
        <f t="shared" si="1"/>
        <v>193.82514317388382</v>
      </c>
      <c r="T16">
        <f t="shared" si="1"/>
        <v>186.72311194320184</v>
      </c>
      <c r="U16">
        <f t="shared" si="1"/>
        <v>180.05692630763738</v>
      </c>
      <c r="V16">
        <f t="shared" si="1"/>
        <v>173.39074067207281</v>
      </c>
      <c r="W16">
        <f t="shared" si="1"/>
        <v>167.16031745697813</v>
      </c>
      <c r="X16">
        <f t="shared" si="1"/>
        <v>160.92989424188335</v>
      </c>
      <c r="Y16">
        <f t="shared" si="1"/>
        <v>155.11611073750726</v>
      </c>
      <c r="Z16">
        <f t="shared" si="1"/>
        <v>149.30232723313105</v>
      </c>
      <c r="AA16">
        <f t="shared" si="1"/>
        <v>143.8678667660667</v>
      </c>
      <c r="AB16">
        <f t="shared" si="1"/>
        <v>138.43340629900223</v>
      </c>
      <c r="AC16">
        <f t="shared" si="1"/>
        <v>133.32439634044044</v>
      </c>
      <c r="AD16">
        <f t="shared" si="1"/>
        <v>128.21538638187852</v>
      </c>
      <c r="AE16">
        <f t="shared" si="1"/>
        <v>123.36375635621721</v>
      </c>
      <c r="AF16">
        <f t="shared" si="1"/>
        <v>118.51212633055579</v>
      </c>
      <c r="AG16">
        <f t="shared" si="1"/>
        <v>113.83858150271101</v>
      </c>
      <c r="AH16">
        <f t="shared" si="1"/>
        <v>109.16503667486617</v>
      </c>
      <c r="AI16">
        <f t="shared" si="1"/>
        <v>104.5825183374331</v>
      </c>
    </row>
  </sheetData>
  <conditionalFormatting sqref="F13:AJ13">
    <cfRule type="colorScale" priority="1">
      <colorScale>
        <cfvo type="min"/>
        <cfvo type="percentile" val="50"/>
        <cfvo type="max"/>
        <color rgb="FF5A8AC6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3:AJ22"/>
  <sheetViews>
    <sheetView tabSelected="1" zoomScale="70" zoomScaleNormal="70" workbookViewId="0">
      <selection activeCell="G13" sqref="G13:AI13"/>
    </sheetView>
  </sheetViews>
  <sheetFormatPr defaultRowHeight="15" x14ac:dyDescent="0.25"/>
  <cols>
    <col min="6" max="6" width="12.7109375" bestFit="1" customWidth="1"/>
    <col min="7" max="7" width="12.5703125" bestFit="1" customWidth="1"/>
  </cols>
  <sheetData>
    <row r="3" spans="2:36" x14ac:dyDescent="0.25">
      <c r="B3" s="1" t="s">
        <v>0</v>
      </c>
      <c r="C3" s="1">
        <v>0.1</v>
      </c>
    </row>
    <row r="4" spans="2:36" x14ac:dyDescent="0.25">
      <c r="B4" s="1" t="s">
        <v>1</v>
      </c>
      <c r="C4" s="1">
        <f>C3/30</f>
        <v>3.3333333333333335E-3</v>
      </c>
    </row>
    <row r="5" spans="2:36" x14ac:dyDescent="0.25">
      <c r="B5" s="1" t="s">
        <v>2</v>
      </c>
      <c r="C5" s="1">
        <f>'Явная схема'!C5</f>
        <v>0.4333333333333334</v>
      </c>
    </row>
    <row r="6" spans="2:36" x14ac:dyDescent="0.25">
      <c r="B6" s="1" t="s">
        <v>3</v>
      </c>
      <c r="C6" s="1">
        <v>200</v>
      </c>
      <c r="D6">
        <v>0</v>
      </c>
    </row>
    <row r="8" spans="2:36" x14ac:dyDescent="0.25">
      <c r="B8" s="1" t="s">
        <v>4</v>
      </c>
      <c r="C8" s="1">
        <v>460</v>
      </c>
    </row>
    <row r="9" spans="2:36" x14ac:dyDescent="0.25">
      <c r="B9" s="1" t="s">
        <v>5</v>
      </c>
      <c r="C9" s="1">
        <v>7800</v>
      </c>
    </row>
    <row r="10" spans="2:36" x14ac:dyDescent="0.25">
      <c r="B10" s="1" t="s">
        <v>6</v>
      </c>
      <c r="C10" s="1">
        <v>46</v>
      </c>
    </row>
    <row r="11" spans="2:36" x14ac:dyDescent="0.25"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25">
      <c r="B12" s="1" t="s">
        <v>8</v>
      </c>
      <c r="C12" s="1">
        <v>300</v>
      </c>
      <c r="E12" t="s">
        <v>0</v>
      </c>
      <c r="F12" s="2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25">
      <c r="B13" s="1" t="s">
        <v>9</v>
      </c>
      <c r="C13" s="1">
        <v>100</v>
      </c>
      <c r="E13" t="s">
        <v>7</v>
      </c>
      <c r="F13" s="4">
        <f>C12</f>
        <v>300</v>
      </c>
      <c r="G13" s="4">
        <v>291.20150763019114</v>
      </c>
      <c r="H13" s="4">
        <v>282.42639185162034</v>
      </c>
      <c r="I13" s="4">
        <v>273.69777226857229</v>
      </c>
      <c r="J13" s="4">
        <v>265.03825736497231</v>
      </c>
      <c r="K13" s="4">
        <v>256.46969604515203</v>
      </c>
      <c r="L13" s="4">
        <v>248.01293760399938</v>
      </c>
      <c r="M13" s="4">
        <v>239.68760278466206</v>
      </c>
      <c r="N13" s="4">
        <v>231.5118684545678</v>
      </c>
      <c r="O13" s="4">
        <v>223.50226827441128</v>
      </c>
      <c r="P13" s="4">
        <v>215.67351155194845</v>
      </c>
      <c r="Q13" s="4">
        <v>208.03832226527072</v>
      </c>
      <c r="R13" s="4">
        <v>200.60730001131634</v>
      </c>
      <c r="S13" s="4">
        <v>193.38880438757519</v>
      </c>
      <c r="T13" s="4">
        <v>186.38886405129662</v>
      </c>
      <c r="U13" s="4">
        <v>179.6111114242122</v>
      </c>
      <c r="V13" s="4">
        <v>173.05674372512129</v>
      </c>
      <c r="W13" s="4">
        <v>166.72451072099102</v>
      </c>
      <c r="X13" s="4">
        <v>160.61072929283281</v>
      </c>
      <c r="Y13" s="4">
        <v>154.70932461883004</v>
      </c>
      <c r="Z13" s="4">
        <v>149.01189748722842</v>
      </c>
      <c r="AA13" s="4">
        <v>143.50781696846175</v>
      </c>
      <c r="AB13" s="4">
        <v>138.18433740283325</v>
      </c>
      <c r="AC13" s="4">
        <v>133.02673839959417</v>
      </c>
      <c r="AD13" s="4">
        <v>128.01848629804988</v>
      </c>
      <c r="AE13" s="4">
        <v>123.14141531376535</v>
      </c>
      <c r="AF13" s="4">
        <v>118.37592638519823</v>
      </c>
      <c r="AG13" s="4">
        <v>113.70120155008863</v>
      </c>
      <c r="AH13" s="4">
        <v>109.09543151836935</v>
      </c>
      <c r="AI13" s="4">
        <v>104.53605397068236</v>
      </c>
      <c r="AJ13" s="4">
        <f>C13</f>
        <v>100</v>
      </c>
    </row>
    <row r="15" spans="2:36" x14ac:dyDescent="0.25">
      <c r="B15" s="4" t="s">
        <v>11</v>
      </c>
      <c r="C15" s="5">
        <f>C10/C4^2</f>
        <v>4139999.9999999991</v>
      </c>
    </row>
    <row r="16" spans="2:36" x14ac:dyDescent="0.25">
      <c r="B16" s="4" t="s">
        <v>12</v>
      </c>
      <c r="C16" s="5">
        <f>(2*C10)/(C4^2)+(C9*C8)/C5</f>
        <v>16559999.999999996</v>
      </c>
      <c r="E16" t="s">
        <v>10</v>
      </c>
      <c r="G16">
        <f t="shared" ref="G16:AH16" si="1">G20*H16+G21</f>
        <v>291.21313203372102</v>
      </c>
      <c r="H16">
        <f t="shared" si="1"/>
        <v>282.44951287450169</v>
      </c>
      <c r="I16">
        <f t="shared" si="1"/>
        <v>273.73213576104507</v>
      </c>
      <c r="J16">
        <f t="shared" si="1"/>
        <v>265.08348563253378</v>
      </c>
      <c r="K16">
        <f t="shared" si="1"/>
        <v>256.5252920391456</v>
      </c>
      <c r="L16">
        <f t="shared" si="1"/>
        <v>248.07829043374466</v>
      </c>
      <c r="M16">
        <f t="shared" si="1"/>
        <v>239.76199448783433</v>
      </c>
      <c r="N16">
        <f t="shared" si="1"/>
        <v>231.5944819482684</v>
      </c>
      <c r="O16">
        <f t="shared" si="1"/>
        <v>223.59219639610353</v>
      </c>
      <c r="P16">
        <f t="shared" si="1"/>
        <v>215.769767087323</v>
      </c>
      <c r="Q16">
        <f t="shared" si="1"/>
        <v>208.13984884929155</v>
      </c>
      <c r="R16">
        <f t="shared" si="1"/>
        <v>200.71298377930171</v>
      </c>
      <c r="S16">
        <f t="shared" si="1"/>
        <v>193.49748624528252</v>
      </c>
      <c r="T16">
        <f t="shared" si="1"/>
        <v>186.49935242667806</v>
      </c>
      <c r="U16">
        <f t="shared" si="1"/>
        <v>179.72219535883636</v>
      </c>
      <c r="V16">
        <f t="shared" si="1"/>
        <v>173.1672061602429</v>
      </c>
      <c r="W16">
        <f t="shared" si="1"/>
        <v>166.83314183189259</v>
      </c>
      <c r="X16">
        <f t="shared" si="1"/>
        <v>160.71633972534534</v>
      </c>
      <c r="Y16">
        <f t="shared" si="1"/>
        <v>154.81075848382301</v>
      </c>
      <c r="Z16">
        <f t="shared" si="1"/>
        <v>149.10804497228656</v>
      </c>
      <c r="AA16">
        <f t="shared" si="1"/>
        <v>143.59762643086634</v>
      </c>
      <c r="AB16">
        <f t="shared" si="1"/>
        <v>138.26682681425515</v>
      </c>
      <c r="AC16">
        <f t="shared" si="1"/>
        <v>133.10100602048777</v>
      </c>
      <c r="AD16">
        <f t="shared" si="1"/>
        <v>128.08372046850752</v>
      </c>
      <c r="AE16">
        <f t="shared" si="1"/>
        <v>123.19690325744253</v>
      </c>
      <c r="AF16">
        <f t="shared" si="1"/>
        <v>118.42106193373189</v>
      </c>
      <c r="AG16">
        <f t="shared" si="1"/>
        <v>113.73549170708853</v>
      </c>
      <c r="AH16">
        <f t="shared" si="1"/>
        <v>109.11850179444491</v>
      </c>
      <c r="AI16">
        <f>AI20*AJ16+AI21</f>
        <v>104.54765243395241</v>
      </c>
      <c r="AJ16">
        <f>C13</f>
        <v>100</v>
      </c>
    </row>
    <row r="17" spans="2:35" x14ac:dyDescent="0.25">
      <c r="B17" s="4" t="s">
        <v>13</v>
      </c>
      <c r="C17" s="5">
        <f>C15</f>
        <v>4139999.9999999991</v>
      </c>
    </row>
    <row r="20" spans="2:35" x14ac:dyDescent="0.25">
      <c r="E20" s="6" t="s">
        <v>14</v>
      </c>
      <c r="F20">
        <v>0</v>
      </c>
      <c r="G20">
        <f>$C$15/($C$16-$C$17*F20)</f>
        <v>0.25</v>
      </c>
      <c r="H20">
        <f t="shared" ref="H20:AI20" si="2">$C$15/($C$16-$C$17*G20)</f>
        <v>0.26666666666666666</v>
      </c>
      <c r="I20">
        <f t="shared" si="2"/>
        <v>0.26785714285714285</v>
      </c>
      <c r="J20">
        <f t="shared" si="2"/>
        <v>0.26794258373205743</v>
      </c>
      <c r="K20">
        <f t="shared" si="2"/>
        <v>0.26794871794871794</v>
      </c>
      <c r="L20">
        <f t="shared" si="2"/>
        <v>0.26794915836482308</v>
      </c>
      <c r="M20">
        <f t="shared" si="2"/>
        <v>0.26794918998527245</v>
      </c>
      <c r="N20">
        <f t="shared" si="2"/>
        <v>0.26794919225551855</v>
      </c>
      <c r="O20">
        <f t="shared" si="2"/>
        <v>0.26794919241851489</v>
      </c>
      <c r="P20">
        <f t="shared" si="2"/>
        <v>0.26794919243021753</v>
      </c>
      <c r="Q20">
        <f t="shared" si="2"/>
        <v>0.26794919243105775</v>
      </c>
      <c r="R20">
        <f t="shared" si="2"/>
        <v>0.26794919243111803</v>
      </c>
      <c r="S20">
        <f t="shared" si="2"/>
        <v>0.26794919243112236</v>
      </c>
      <c r="T20">
        <f t="shared" si="2"/>
        <v>0.2679491924311227</v>
      </c>
      <c r="U20">
        <f t="shared" si="2"/>
        <v>0.2679491924311227</v>
      </c>
      <c r="V20">
        <f t="shared" si="2"/>
        <v>0.2679491924311227</v>
      </c>
      <c r="W20">
        <f t="shared" si="2"/>
        <v>0.2679491924311227</v>
      </c>
      <c r="X20">
        <f t="shared" si="2"/>
        <v>0.2679491924311227</v>
      </c>
      <c r="Y20">
        <f t="shared" si="2"/>
        <v>0.2679491924311227</v>
      </c>
      <c r="Z20">
        <f t="shared" si="2"/>
        <v>0.2679491924311227</v>
      </c>
      <c r="AA20">
        <f t="shared" si="2"/>
        <v>0.2679491924311227</v>
      </c>
      <c r="AB20">
        <f t="shared" si="2"/>
        <v>0.2679491924311227</v>
      </c>
      <c r="AC20">
        <f t="shared" si="2"/>
        <v>0.2679491924311227</v>
      </c>
      <c r="AD20">
        <f t="shared" si="2"/>
        <v>0.2679491924311227</v>
      </c>
      <c r="AE20">
        <f t="shared" si="2"/>
        <v>0.2679491924311227</v>
      </c>
      <c r="AF20">
        <f t="shared" si="2"/>
        <v>0.2679491924311227</v>
      </c>
      <c r="AG20">
        <f t="shared" si="2"/>
        <v>0.2679491924311227</v>
      </c>
      <c r="AH20">
        <f t="shared" si="2"/>
        <v>0.2679491924311227</v>
      </c>
      <c r="AI20">
        <f t="shared" si="2"/>
        <v>0.2679491924311227</v>
      </c>
    </row>
    <row r="21" spans="2:35" x14ac:dyDescent="0.25">
      <c r="E21" t="s">
        <v>15</v>
      </c>
      <c r="F21">
        <f>C12</f>
        <v>300</v>
      </c>
      <c r="G21" s="7">
        <f>(F21*$C$17-G22)/($C$16-$C$17*F20)</f>
        <v>220.6007538150956</v>
      </c>
      <c r="H21" s="7">
        <f t="shared" ref="H21:AI21" si="3">(G21*$C$17-H22)/($C$16-$C$17*G20)</f>
        <v>209.45427667155636</v>
      </c>
      <c r="I21" s="7">
        <f t="shared" si="3"/>
        <v>202.72763068090208</v>
      </c>
      <c r="J21" s="7">
        <f t="shared" si="3"/>
        <v>196.34943609094455</v>
      </c>
      <c r="K21" s="7">
        <f t="shared" si="3"/>
        <v>190.05303216651404</v>
      </c>
      <c r="L21" s="7">
        <f t="shared" si="3"/>
        <v>183.83426580285811</v>
      </c>
      <c r="M21" s="7">
        <f t="shared" si="3"/>
        <v>177.706440644737</v>
      </c>
      <c r="N21" s="7">
        <f t="shared" si="3"/>
        <v>171.68313352929519</v>
      </c>
      <c r="O21" s="7">
        <f t="shared" si="3"/>
        <v>165.77686155672427</v>
      </c>
      <c r="P21" s="7">
        <f t="shared" si="3"/>
        <v>159.9988626756078</v>
      </c>
      <c r="Q21" s="7">
        <f t="shared" si="3"/>
        <v>154.35896693519967</v>
      </c>
      <c r="R21" s="7">
        <f t="shared" si="3"/>
        <v>148.86548860242689</v>
      </c>
      <c r="S21" s="7">
        <f t="shared" si="3"/>
        <v>143.52513537362685</v>
      </c>
      <c r="T21" s="7">
        <f t="shared" si="3"/>
        <v>138.34293531832938</v>
      </c>
      <c r="U21" s="7">
        <f t="shared" si="3"/>
        <v>133.32218231264554</v>
      </c>
      <c r="V21" s="7">
        <f t="shared" si="3"/>
        <v>128.46440053564032</v>
      </c>
      <c r="W21" s="7">
        <f t="shared" si="3"/>
        <v>123.76932839200033</v>
      </c>
      <c r="X21" s="7">
        <f t="shared" si="3"/>
        <v>119.23492200995537</v>
      </c>
      <c r="Y21" s="7">
        <f t="shared" si="3"/>
        <v>114.85737824851529</v>
      </c>
      <c r="Z21" s="7">
        <f t="shared" si="3"/>
        <v>110.63117693510989</v>
      </c>
      <c r="AA21" s="7">
        <f t="shared" si="3"/>
        <v>106.54914184597276</v>
      </c>
      <c r="AB21" s="7">
        <f t="shared" si="3"/>
        <v>102.60251973929545</v>
      </c>
      <c r="AC21" s="7">
        <f t="shared" si="3"/>
        <v>98.781076557377517</v>
      </c>
      <c r="AD21" s="7">
        <f t="shared" si="3"/>
        <v>95.073209730660651</v>
      </c>
      <c r="AE21" s="7">
        <f t="shared" si="3"/>
        <v>91.466075345463111</v>
      </c>
      <c r="AF21" s="7">
        <f t="shared" si="3"/>
        <v>87.945728780060861</v>
      </c>
      <c r="AG21" s="7">
        <f t="shared" si="3"/>
        <v>84.497277271973005</v>
      </c>
      <c r="AH21" s="7">
        <f t="shared" si="3"/>
        <v>81.105042754197669</v>
      </c>
      <c r="AI21" s="7">
        <f t="shared" si="3"/>
        <v>77.752733190840146</v>
      </c>
    </row>
    <row r="22" spans="2:35" x14ac:dyDescent="0.25">
      <c r="E22" t="s">
        <v>16</v>
      </c>
      <c r="F22" s="5">
        <f>-(($C$9*$C$8)/$C$5)*F13</f>
        <v>-2483999999.9999995</v>
      </c>
      <c r="G22" s="5">
        <f t="shared" ref="G22:AI22" si="4">-(($C$9*$C$8)/$C$5)*G13</f>
        <v>-2411148483.1779823</v>
      </c>
      <c r="H22" s="5">
        <f t="shared" si="4"/>
        <v>-2338490524.5314159</v>
      </c>
      <c r="I22" s="5">
        <f t="shared" si="4"/>
        <v>-2266217554.3837786</v>
      </c>
      <c r="J22" s="5">
        <f t="shared" si="4"/>
        <v>-2194516770.9819703</v>
      </c>
      <c r="K22" s="5">
        <f t="shared" si="4"/>
        <v>-2123569083.2538586</v>
      </c>
      <c r="L22" s="5">
        <f t="shared" si="4"/>
        <v>-2053547123.3611145</v>
      </c>
      <c r="M22" s="5">
        <f t="shared" si="4"/>
        <v>-1984613351.0570016</v>
      </c>
      <c r="N22" s="5">
        <f t="shared" si="4"/>
        <v>-1916918270.8038211</v>
      </c>
      <c r="O22" s="5">
        <f t="shared" si="4"/>
        <v>-1850598781.3121252</v>
      </c>
      <c r="P22" s="5">
        <f t="shared" si="4"/>
        <v>-1785776675.6501329</v>
      </c>
      <c r="Q22" s="5">
        <f t="shared" si="4"/>
        <v>-1722557308.3564415</v>
      </c>
      <c r="R22" s="5">
        <f t="shared" si="4"/>
        <v>-1661028444.0936992</v>
      </c>
      <c r="S22" s="5">
        <f t="shared" si="4"/>
        <v>-1601259300.3291223</v>
      </c>
      <c r="T22" s="5">
        <f t="shared" si="4"/>
        <v>-1543299794.3447359</v>
      </c>
      <c r="U22" s="5">
        <f t="shared" si="4"/>
        <v>-1487180002.5924768</v>
      </c>
      <c r="V22" s="5">
        <f t="shared" si="4"/>
        <v>-1432909838.0440042</v>
      </c>
      <c r="W22" s="5">
        <f t="shared" si="4"/>
        <v>-1380478948.7698054</v>
      </c>
      <c r="X22" s="5">
        <f t="shared" si="4"/>
        <v>-1329856838.5446556</v>
      </c>
      <c r="Y22" s="5">
        <f t="shared" si="4"/>
        <v>-1280993207.8439126</v>
      </c>
      <c r="Z22" s="5">
        <f t="shared" si="4"/>
        <v>-1233818511.1942513</v>
      </c>
      <c r="AA22" s="5">
        <f t="shared" si="4"/>
        <v>-1188244724.4988632</v>
      </c>
      <c r="AB22" s="5">
        <f t="shared" si="4"/>
        <v>-1144166313.6954591</v>
      </c>
      <c r="AC22" s="5">
        <f t="shared" si="4"/>
        <v>-1101461393.9486396</v>
      </c>
      <c r="AD22" s="5">
        <f t="shared" si="4"/>
        <v>-1059993066.5478529</v>
      </c>
      <c r="AE22" s="5">
        <f t="shared" si="4"/>
        <v>-1019610918.797977</v>
      </c>
      <c r="AF22" s="5">
        <f t="shared" si="4"/>
        <v>-980152670.46944118</v>
      </c>
      <c r="AG22" s="5">
        <f t="shared" si="4"/>
        <v>-941445948.83473372</v>
      </c>
      <c r="AH22" s="5">
        <f t="shared" si="4"/>
        <v>-903310172.97209811</v>
      </c>
      <c r="AI22" s="5">
        <f t="shared" si="4"/>
        <v>-865558526.87724984</v>
      </c>
    </row>
  </sheetData>
  <conditionalFormatting sqref="F13:AJ13">
    <cfRule type="colorScale" priority="1">
      <colorScale>
        <cfvo type="min"/>
        <cfvo type="percentile" val="50"/>
        <cfvo type="max"/>
        <color rgb="FF5A8AC6"/>
        <color rgb="FFFFEB84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Явная схема</vt:lpstr>
      <vt:lpstr>Неявная схема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 2</cp:lastModifiedBy>
  <dcterms:created xsi:type="dcterms:W3CDTF">2015-06-05T18:19:34Z</dcterms:created>
  <dcterms:modified xsi:type="dcterms:W3CDTF">2021-12-10T16:26:45Z</dcterms:modified>
</cp:coreProperties>
</file>