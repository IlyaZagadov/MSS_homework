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gerar\OneDrive\Рабочий стол\"/>
    </mc:Choice>
  </mc:AlternateContent>
  <bookViews>
    <workbookView xWindow="930" yWindow="0" windowWidth="27870" windowHeight="12480" activeTab="2"/>
  </bookViews>
  <sheets>
    <sheet name="ГУ1" sheetId="1" r:id="rId1"/>
    <sheet name="ГУ2" sheetId="2" r:id="rId2"/>
    <sheet name="ГУ3" sheetId="3" r:id="rId3"/>
  </sheets>
  <calcPr calcId="162913"/>
</workbook>
</file>

<file path=xl/calcChain.xml><?xml version="1.0" encoding="utf-8"?>
<calcChain xmlns="http://schemas.openxmlformats.org/spreadsheetml/2006/main">
  <c r="F12" i="3" l="1"/>
  <c r="G14" i="3" s="1"/>
  <c r="AJ12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AI14" i="3"/>
  <c r="H11" i="3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AI11" i="3" s="1"/>
  <c r="AJ11" i="3" s="1"/>
  <c r="G11" i="3"/>
  <c r="C4" i="3"/>
  <c r="C5" i="3" s="1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H11" i="2"/>
  <c r="I11" i="2"/>
  <c r="J11" i="2"/>
  <c r="K11" i="2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AI11" i="2" s="1"/>
  <c r="AJ11" i="2" s="1"/>
  <c r="G11" i="2"/>
  <c r="F15" i="2"/>
  <c r="AJ12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H16" i="1"/>
  <c r="AK14" i="1"/>
  <c r="G14" i="1"/>
  <c r="C4" i="2"/>
  <c r="C5" i="2" s="1"/>
  <c r="D5" i="1" l="1"/>
  <c r="H13" i="1" l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AK13" i="1" s="1"/>
  <c r="D6" i="1"/>
  <c r="I16" i="1" l="1"/>
  <c r="M16" i="1"/>
  <c r="Q16" i="1"/>
  <c r="U16" i="1"/>
  <c r="Y16" i="1"/>
  <c r="AC16" i="1"/>
  <c r="AG16" i="1"/>
  <c r="J16" i="1"/>
  <c r="R16" i="1"/>
  <c r="V16" i="1"/>
  <c r="Z16" i="1"/>
  <c r="AD16" i="1"/>
  <c r="K16" i="1"/>
  <c r="S16" i="1"/>
  <c r="AA16" i="1"/>
  <c r="AI16" i="1"/>
  <c r="L16" i="1"/>
  <c r="P16" i="1"/>
  <c r="T16" i="1"/>
  <c r="AB16" i="1"/>
  <c r="AJ16" i="1"/>
  <c r="N16" i="1"/>
  <c r="AH16" i="1"/>
  <c r="O16" i="1"/>
  <c r="W16" i="1"/>
  <c r="AE16" i="1"/>
  <c r="X16" i="1"/>
  <c r="AF16" i="1"/>
  <c r="F12" i="2"/>
  <c r="G15" i="2" s="1"/>
  <c r="G14" i="2" l="1"/>
</calcChain>
</file>

<file path=xl/sharedStrings.xml><?xml version="1.0" encoding="utf-8"?>
<sst xmlns="http://schemas.openxmlformats.org/spreadsheetml/2006/main" count="41" uniqueCount="15">
  <si>
    <t>L</t>
  </si>
  <si>
    <t>dx</t>
  </si>
  <si>
    <t>dt</t>
  </si>
  <si>
    <t>t</t>
  </si>
  <si>
    <t>Cp</t>
  </si>
  <si>
    <t>ro</t>
  </si>
  <si>
    <t>lambda</t>
  </si>
  <si>
    <t>T</t>
  </si>
  <si>
    <t>T_end</t>
  </si>
  <si>
    <t>T_iter</t>
  </si>
  <si>
    <t>№</t>
  </si>
  <si>
    <t>q</t>
  </si>
  <si>
    <t>q_start</t>
  </si>
  <si>
    <t>T_gas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</si>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</sst>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ГУ1!$G$13:$AK$13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ГУ1!$G$14:$AK$14</c:f>
              <c:numCache>
                <c:formatCode>General</c:formatCode>
                <c:ptCount val="31"/>
                <c:pt idx="0">
                  <c:v>300</c:v>
                </c:pt>
                <c:pt idx="1">
                  <c:v>293.32637154358844</c:v>
                </c:pt>
                <c:pt idx="2">
                  <c:v>286.65274308717687</c:v>
                </c:pt>
                <c:pt idx="3">
                  <c:v>279.97941889438357</c:v>
                </c:pt>
                <c:pt idx="4">
                  <c:v>273.30609470159027</c:v>
                </c:pt>
                <c:pt idx="5">
                  <c:v>266.63336573825325</c:v>
                </c:pt>
                <c:pt idx="6">
                  <c:v>259.96063677491622</c:v>
                </c:pt>
                <c:pt idx="7">
                  <c:v>253.28876799249022</c:v>
                </c:pt>
                <c:pt idx="8">
                  <c:v>246.61689921006416</c:v>
                </c:pt>
                <c:pt idx="9">
                  <c:v>239.9461179659703</c:v>
                </c:pt>
                <c:pt idx="10">
                  <c:v>233.27533672187639</c:v>
                </c:pt>
                <c:pt idx="11">
                  <c:v>226.6058228428922</c:v>
                </c:pt>
                <c:pt idx="12">
                  <c:v>219.93630896390792</c:v>
                </c:pt>
                <c:pt idx="13">
                  <c:v>213.2681868868741</c:v>
                </c:pt>
                <c:pt idx="14">
                  <c:v>206.60006480984021</c:v>
                </c:pt>
                <c:pt idx="15">
                  <c:v>199.93339814317363</c:v>
                </c:pt>
                <c:pt idx="16">
                  <c:v>193.266731476507</c:v>
                </c:pt>
                <c:pt idx="17">
                  <c:v>186.60152022020762</c:v>
                </c:pt>
                <c:pt idx="18">
                  <c:v>179.93630896390823</c:v>
                </c:pt>
                <c:pt idx="19">
                  <c:v>173.27248950955919</c:v>
                </c:pt>
                <c:pt idx="20">
                  <c:v>166.60867005521015</c:v>
                </c:pt>
                <c:pt idx="21">
                  <c:v>159.94611796597076</c:v>
                </c:pt>
                <c:pt idx="22">
                  <c:v>153.28356587673133</c:v>
                </c:pt>
                <c:pt idx="23">
                  <c:v>146.62210132582402</c:v>
                </c:pt>
                <c:pt idx="24">
                  <c:v>139.96063677491674</c:v>
                </c:pt>
                <c:pt idx="25">
                  <c:v>133.30003240492033</c:v>
                </c:pt>
                <c:pt idx="26">
                  <c:v>126.63942803492394</c:v>
                </c:pt>
                <c:pt idx="27">
                  <c:v>119.97941889438385</c:v>
                </c:pt>
                <c:pt idx="28">
                  <c:v>113.31940975384376</c:v>
                </c:pt>
                <c:pt idx="29">
                  <c:v>106.65970487692188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35-4EEA-8EE5-0C4239460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711680"/>
        <c:axId val="84710144"/>
      </c:scatterChart>
      <c:valAx>
        <c:axId val="84711680"/>
        <c:scaling>
          <c:orientation val="minMax"/>
          <c:max val="0.1"/>
          <c:min val="0"/>
        </c:scaling>
        <c:delete val="0"/>
        <c:axPos val="b"/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ru-RU"/>
          </a:p>
        </c:txPr>
        <c:crossAx val="84710144"/>
        <c:crosses val="autoZero"/>
        <c:crossBetween val="midCat"/>
      </c:valAx>
      <c:valAx>
        <c:axId val="84710144"/>
        <c:scaling>
          <c:orientation val="minMax"/>
          <c:max val="30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ru-RU"/>
          </a:p>
        </c:txPr>
        <c:crossAx val="8471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marker>
            <c:symbol val="none"/>
          </c:marker>
          <c:xVal>
            <c:numRef>
              <c:f>ГУ2!$F$11:$AJ$11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ГУ2!$F$12:$AJ$12</c:f>
              <c:numCache>
                <c:formatCode>General</c:formatCode>
                <c:ptCount val="31"/>
                <c:pt idx="0">
                  <c:v>159.02278894997244</c:v>
                </c:pt>
                <c:pt idx="1">
                  <c:v>152.35612228330578</c:v>
                </c:pt>
                <c:pt idx="2">
                  <c:v>146.09046378206511</c:v>
                </c:pt>
                <c:pt idx="3">
                  <c:v>140.21548272233372</c:v>
                </c:pt>
                <c:pt idx="4">
                  <c:v>134.74731170192626</c:v>
                </c:pt>
                <c:pt idx="5">
                  <c:v>129.65538473953768</c:v>
                </c:pt>
                <c:pt idx="6">
                  <c:v>124.97116006421521</c:v>
                </c:pt>
                <c:pt idx="7">
                  <c:v>120.64509648264981</c:v>
                </c:pt>
                <c:pt idx="8">
                  <c:v>116.72240125795804</c:v>
                </c:pt>
                <c:pt idx="9">
                  <c:v>113.13659709753325</c:v>
                </c:pt>
                <c:pt idx="10">
                  <c:v>109.94436706879833</c:v>
                </c:pt>
                <c:pt idx="11">
                  <c:v>107.06502725199417</c:v>
                </c:pt>
                <c:pt idx="12">
                  <c:v>104.56387203771669</c:v>
                </c:pt>
                <c:pt idx="13">
                  <c:v>102.34931188743127</c:v>
                </c:pt>
                <c:pt idx="14">
                  <c:v>100.49192980031469</c:v>
                </c:pt>
                <c:pt idx="15">
                  <c:v>98.892959348769864</c:v>
                </c:pt>
                <c:pt idx="16">
                  <c:v>97.624645833455247</c:v>
                </c:pt>
                <c:pt idx="17">
                  <c:v>96.585039824712851</c:v>
                </c:pt>
                <c:pt idx="18">
                  <c:v>95.844288267055106</c:v>
                </c:pt>
                <c:pt idx="19">
                  <c:v>95.301343570644832</c:v>
                </c:pt>
                <c:pt idx="20">
                  <c:v>95.020535436380186</c:v>
                </c:pt>
                <c:pt idx="21">
                  <c:v>94.905715754312041</c:v>
                </c:pt>
                <c:pt idx="22">
                  <c:v>95.0118947872121</c:v>
                </c:pt>
                <c:pt idx="23">
                  <c:v>95.25156015978618</c:v>
                </c:pt>
                <c:pt idx="24">
                  <c:v>95.667282858802139</c:v>
                </c:pt>
                <c:pt idx="25">
                  <c:v>96.183498721543884</c:v>
                </c:pt>
                <c:pt idx="26">
                  <c:v>96.827750712707086</c:v>
                </c:pt>
                <c:pt idx="27">
                  <c:v>97.539168334543717</c:v>
                </c:pt>
                <c:pt idx="28">
                  <c:v>98.328333769172787</c:v>
                </c:pt>
                <c:pt idx="29">
                  <c:v>99.151131039687058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C1-493F-843E-92F286EEE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711680"/>
        <c:axId val="84710144"/>
      </c:scatterChart>
      <c:valAx>
        <c:axId val="84711680"/>
        <c:scaling>
          <c:orientation val="minMax"/>
          <c:max val="0.1"/>
          <c:min val="0"/>
        </c:scaling>
        <c:delete val="0"/>
        <c:axPos val="b"/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ru-RU"/>
          </a:p>
        </c:txPr>
        <c:crossAx val="84710144"/>
        <c:crosses val="autoZero"/>
        <c:crossBetween val="midCat"/>
      </c:valAx>
      <c:valAx>
        <c:axId val="84710144"/>
        <c:scaling>
          <c:orientation val="minMax"/>
          <c:max val="30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ru-RU"/>
          </a:p>
        </c:txPr>
        <c:crossAx val="8471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3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3</c:v>
          </c:tx>
          <c:marker>
            <c:symbol val="none"/>
          </c:marker>
          <c:xVal>
            <c:numRef>
              <c:f>ГУ3!$F$11:$AJ$11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ГУ3!$F$12:$AJ$12</c:f>
              <c:numCache>
                <c:formatCode>General</c:formatCode>
                <c:ptCount val="31"/>
                <c:pt idx="0">
                  <c:v>911.85625362651035</c:v>
                </c:pt>
                <c:pt idx="1">
                  <c:v>916.28999459481838</c:v>
                </c:pt>
                <c:pt idx="2">
                  <c:v>920.87441794333597</c:v>
                </c:pt>
                <c:pt idx="3">
                  <c:v>925.61009032015772</c:v>
                </c:pt>
                <c:pt idx="4">
                  <c:v>930.49713735841328</c:v>
                </c:pt>
                <c:pt idx="5">
                  <c:v>935.53508777996228</c:v>
                </c:pt>
                <c:pt idx="6">
                  <c:v>940.72310589868312</c:v>
                </c:pt>
                <c:pt idx="7">
                  <c:v>946.05969058559549</c:v>
                </c:pt>
                <c:pt idx="8">
                  <c:v>951.54305342997611</c:v>
                </c:pt>
                <c:pt idx="9">
                  <c:v>957.17068626533489</c:v>
                </c:pt>
                <c:pt idx="10">
                  <c:v>962.9398680488348</c:v>
                </c:pt>
                <c:pt idx="11">
                  <c:v>968.84712069120962</c:v>
                </c:pt>
                <c:pt idx="12">
                  <c:v>974.88882200155604</c:v>
                </c:pt>
                <c:pt idx="13">
                  <c:v>981.06057471315262</c:v>
                </c:pt>
                <c:pt idx="14">
                  <c:v>987.35789814759278</c:v>
                </c:pt>
                <c:pt idx="15">
                  <c:v>993.77553934853393</c:v>
                </c:pt>
                <c:pt idx="16">
                  <c:v>1000.3082126571062</c:v>
                </c:pt>
                <c:pt idx="17">
                  <c:v>1006.9498845739445</c:v>
                </c:pt>
                <c:pt idx="18">
                  <c:v>1013.6945283620206</c:v>
                </c:pt>
                <c:pt idx="19">
                  <c:v>1020.5354155302895</c:v>
                </c:pt>
                <c:pt idx="20">
                  <c:v>1027.4658519831764</c:v>
                </c:pt>
                <c:pt idx="21">
                  <c:v>1034.4785087981431</c:v>
                </c:pt>
                <c:pt idx="22">
                  <c:v>1041.566107348905</c:v>
                </c:pt>
                <c:pt idx="23">
                  <c:v>1048.7208203431496</c:v>
                </c:pt>
                <c:pt idx="24">
                  <c:v>1055.934875717164</c:v>
                </c:pt>
                <c:pt idx="25">
                  <c:v>1063.2000557849901</c:v>
                </c:pt>
                <c:pt idx="26">
                  <c:v>1070.5081934275313</c:v>
                </c:pt>
                <c:pt idx="27">
                  <c:v>1077.8507928205713</c:v>
                </c:pt>
                <c:pt idx="28">
                  <c:v>1085.2193963525347</c:v>
                </c:pt>
                <c:pt idx="29">
                  <c:v>1092.6053449434808</c:v>
                </c:pt>
                <c:pt idx="30">
                  <c:v>1100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03-4CA7-B02F-8688FD16B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711680"/>
        <c:axId val="84710144"/>
      </c:scatterChart>
      <c:valAx>
        <c:axId val="84711680"/>
        <c:scaling>
          <c:orientation val="minMax"/>
          <c:max val="0.1"/>
          <c:min val="0"/>
        </c:scaling>
        <c:delete val="0"/>
        <c:axPos val="b"/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ru-RU"/>
          </a:p>
        </c:txPr>
        <c:crossAx val="84710144"/>
        <c:crosses val="autoZero"/>
        <c:crossBetween val="midCat"/>
      </c:valAx>
      <c:valAx>
        <c:axId val="84710144"/>
        <c:scaling>
          <c:orientation val="minMax"/>
          <c:max val="1300"/>
          <c:min val="80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ru-RU"/>
          </a:p>
        </c:txPr>
        <c:crossAx val="8471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285751</xdr:colOff>
      <xdr:row>17</xdr:row>
      <xdr:rowOff>108857</xdr:rowOff>
    </xdr:from>
    <xdr:to>
      <xdr:col>16</xdr:col>
      <xdr:colOff>68036</xdr:colOff>
      <xdr:row>40</xdr:row>
      <xdr:rowOff>163286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204107</xdr:colOff>
      <xdr:row>43</xdr:row>
      <xdr:rowOff>108857</xdr:rowOff>
    </xdr:from>
    <xdr:to>
      <xdr:col>20</xdr:col>
      <xdr:colOff>295709</xdr:colOff>
      <xdr:row>74</xdr:row>
      <xdr:rowOff>81643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428" y="8300357"/>
          <a:ext cx="9983995" cy="58782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428625</xdr:colOff>
      <xdr:row>22</xdr:row>
      <xdr:rowOff>0</xdr:rowOff>
    </xdr:from>
    <xdr:to>
      <xdr:col>10</xdr:col>
      <xdr:colOff>142875</xdr:colOff>
      <xdr:row>43</xdr:row>
      <xdr:rowOff>183511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" y="4191000"/>
          <a:ext cx="5810250" cy="4184011"/>
        </a:xfrm>
        <a:prstGeom prst="rect">
          <a:avLst/>
        </a:prstGeom>
      </xdr:spPr>
    </xdr:pic>
    <xdr:clientData/>
  </xdr:twoCellAnchor>
  <xdr:twoCellAnchor>
    <xdr:from>
      <xdr:col>14</xdr:col>
      <xdr:colOff>560294</xdr:colOff>
      <xdr:row>20</xdr:row>
      <xdr:rowOff>78442</xdr:rowOff>
    </xdr:from>
    <xdr:to>
      <xdr:col>22</xdr:col>
      <xdr:colOff>465844</xdr:colOff>
      <xdr:row>43</xdr:row>
      <xdr:rowOff>132871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361950</xdr:colOff>
      <xdr:row>16</xdr:row>
      <xdr:rowOff>142875</xdr:rowOff>
    </xdr:from>
    <xdr:to>
      <xdr:col>15</xdr:col>
      <xdr:colOff>231641</xdr:colOff>
      <xdr:row>40</xdr:row>
      <xdr:rowOff>6804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C4:AK17"/>
  <sheetViews>
    <sheetView zoomScale="85" zoomScaleNormal="85" workbookViewId="0">
      <selection activeCell="F21" sqref="F21"/>
    </sheetView>
  </sheetViews>
  <sheetFormatPr defaultRowHeight="15" x14ac:dyDescent="0.25"/>
  <cols>
    <col min="3" max="4" width="9.140625" style="1" customWidth="1"/>
    <col min="7" max="7" width="6.42578125" bestFit="1" customWidth="1"/>
    <col min="8" max="8" width="10.28515625" bestFit="1" customWidth="1"/>
    <col min="9" max="37" width="7.140625" bestFit="1" customWidth="1"/>
  </cols>
  <sheetData>
    <row r="4" spans="3:37" x14ac:dyDescent="0.25">
      <c r="C4" s="4" t="s">
        <v>0</v>
      </c>
      <c r="D4" s="4">
        <v>0.1</v>
      </c>
    </row>
    <row r="5" spans="3:37" x14ac:dyDescent="0.25">
      <c r="C5" s="4" t="s">
        <v>1</v>
      </c>
      <c r="D5" s="5">
        <f>D4/"30"</f>
        <v>3.3333333333333335E-3</v>
      </c>
    </row>
    <row r="6" spans="3:37" x14ac:dyDescent="0.25">
      <c r="C6" s="4" t="s">
        <v>2</v>
      </c>
      <c r="D6" s="5">
        <f>(D9*D10*D5^2)/(2*D11)</f>
        <v>0.4333333333333334</v>
      </c>
    </row>
    <row r="7" spans="3:37" x14ac:dyDescent="0.25">
      <c r="C7" s="4" t="s">
        <v>3</v>
      </c>
      <c r="D7" s="4">
        <v>500</v>
      </c>
      <c r="E7">
        <v>0</v>
      </c>
    </row>
    <row r="9" spans="3:37" x14ac:dyDescent="0.25">
      <c r="C9" s="4" t="s">
        <v>4</v>
      </c>
      <c r="D9" s="4">
        <v>460</v>
      </c>
    </row>
    <row r="10" spans="3:37" x14ac:dyDescent="0.25">
      <c r="C10" s="4" t="s">
        <v>5</v>
      </c>
      <c r="D10" s="4">
        <v>7800</v>
      </c>
    </row>
    <row r="11" spans="3:37" x14ac:dyDescent="0.25">
      <c r="C11" s="4" t="s">
        <v>6</v>
      </c>
      <c r="D11" s="4">
        <v>46</v>
      </c>
    </row>
    <row r="12" spans="3:37" x14ac:dyDescent="0.25">
      <c r="F12" s="2" t="s">
        <v>10</v>
      </c>
      <c r="G12" s="4">
        <v>1</v>
      </c>
      <c r="H12" s="4">
        <v>2</v>
      </c>
      <c r="I12" s="4">
        <v>3</v>
      </c>
      <c r="J12" s="4">
        <v>4</v>
      </c>
      <c r="K12" s="4">
        <v>5</v>
      </c>
      <c r="L12" s="4">
        <v>6</v>
      </c>
      <c r="M12" s="4">
        <v>7</v>
      </c>
      <c r="N12" s="4">
        <v>8</v>
      </c>
      <c r="O12" s="4">
        <v>9</v>
      </c>
      <c r="P12" s="4">
        <v>10</v>
      </c>
      <c r="Q12" s="4">
        <v>11</v>
      </c>
      <c r="R12" s="4">
        <v>12</v>
      </c>
      <c r="S12" s="4">
        <v>13</v>
      </c>
      <c r="T12" s="4">
        <v>14</v>
      </c>
      <c r="U12" s="4">
        <v>15</v>
      </c>
      <c r="V12" s="4">
        <v>16</v>
      </c>
      <c r="W12" s="4">
        <v>17</v>
      </c>
      <c r="X12" s="4">
        <v>18</v>
      </c>
      <c r="Y12" s="4">
        <v>19</v>
      </c>
      <c r="Z12" s="4">
        <v>20</v>
      </c>
      <c r="AA12" s="4">
        <v>21</v>
      </c>
      <c r="AB12" s="4">
        <v>22</v>
      </c>
      <c r="AC12" s="4">
        <v>23</v>
      </c>
      <c r="AD12" s="4">
        <v>24</v>
      </c>
      <c r="AE12" s="4">
        <v>25</v>
      </c>
      <c r="AF12" s="4">
        <v>26</v>
      </c>
      <c r="AG12" s="4">
        <v>27</v>
      </c>
      <c r="AH12" s="4">
        <v>28</v>
      </c>
      <c r="AI12" s="4">
        <v>29</v>
      </c>
      <c r="AJ12" s="4">
        <v>30</v>
      </c>
      <c r="AK12" s="4">
        <v>31</v>
      </c>
    </row>
    <row r="13" spans="3:37" x14ac:dyDescent="0.25">
      <c r="C13" s="4" t="s">
        <v>12</v>
      </c>
      <c r="D13" s="4">
        <v>300</v>
      </c>
      <c r="F13" s="2" t="s">
        <v>0</v>
      </c>
      <c r="G13" s="4">
        <v>0</v>
      </c>
      <c r="H13" s="3">
        <f>G13+$D$5</f>
        <v>3.3333333333333335E-3</v>
      </c>
      <c r="I13" s="3">
        <f t="shared" ref="I13:AK13" si="0">H13+$D$5</f>
        <v>6.6666666666666671E-3</v>
      </c>
      <c r="J13" s="3">
        <f t="shared" si="0"/>
        <v>0.01</v>
      </c>
      <c r="K13" s="3">
        <f t="shared" si="0"/>
        <v>1.3333333333333334E-2</v>
      </c>
      <c r="L13" s="3">
        <f t="shared" si="0"/>
        <v>1.6666666666666666E-2</v>
      </c>
      <c r="M13" s="3">
        <f t="shared" si="0"/>
        <v>0.02</v>
      </c>
      <c r="N13" s="3">
        <f t="shared" si="0"/>
        <v>2.3333333333333334E-2</v>
      </c>
      <c r="O13" s="3">
        <f t="shared" si="0"/>
        <v>2.6666666666666668E-2</v>
      </c>
      <c r="P13" s="3">
        <f t="shared" si="0"/>
        <v>3.0000000000000002E-2</v>
      </c>
      <c r="Q13" s="3">
        <f t="shared" si="0"/>
        <v>3.3333333333333333E-2</v>
      </c>
      <c r="R13" s="3">
        <f t="shared" si="0"/>
        <v>3.6666666666666667E-2</v>
      </c>
      <c r="S13" s="3">
        <f t="shared" si="0"/>
        <v>0.04</v>
      </c>
      <c r="T13" s="3">
        <f t="shared" si="0"/>
        <v>4.3333333333333335E-2</v>
      </c>
      <c r="U13" s="3">
        <f t="shared" si="0"/>
        <v>4.6666666666666669E-2</v>
      </c>
      <c r="V13" s="3">
        <f t="shared" si="0"/>
        <v>0.05</v>
      </c>
      <c r="W13" s="3">
        <f t="shared" si="0"/>
        <v>5.3333333333333337E-2</v>
      </c>
      <c r="X13" s="3">
        <f t="shared" si="0"/>
        <v>5.6666666666666671E-2</v>
      </c>
      <c r="Y13" s="3">
        <f t="shared" si="0"/>
        <v>6.0000000000000005E-2</v>
      </c>
      <c r="Z13" s="3">
        <f t="shared" si="0"/>
        <v>6.3333333333333339E-2</v>
      </c>
      <c r="AA13" s="3">
        <f t="shared" si="0"/>
        <v>6.6666666666666666E-2</v>
      </c>
      <c r="AB13" s="3">
        <f t="shared" si="0"/>
        <v>6.9999999999999993E-2</v>
      </c>
      <c r="AC13" s="3">
        <f t="shared" si="0"/>
        <v>7.333333333333332E-2</v>
      </c>
      <c r="AD13" s="3">
        <f t="shared" si="0"/>
        <v>7.6666666666666647E-2</v>
      </c>
      <c r="AE13" s="3">
        <f t="shared" si="0"/>
        <v>7.9999999999999974E-2</v>
      </c>
      <c r="AF13" s="3">
        <f t="shared" si="0"/>
        <v>8.3333333333333301E-2</v>
      </c>
      <c r="AG13" s="3">
        <f t="shared" si="0"/>
        <v>8.6666666666666628E-2</v>
      </c>
      <c r="AH13" s="3">
        <f t="shared" si="0"/>
        <v>8.9999999999999955E-2</v>
      </c>
      <c r="AI13" s="3">
        <f t="shared" si="0"/>
        <v>9.3333333333333282E-2</v>
      </c>
      <c r="AJ13" s="3">
        <f t="shared" si="0"/>
        <v>9.6666666666666609E-2</v>
      </c>
      <c r="AK13" s="3">
        <f t="shared" si="0"/>
        <v>9.9999999999999936E-2</v>
      </c>
    </row>
    <row r="14" spans="3:37" x14ac:dyDescent="0.25">
      <c r="C14" s="4" t="s">
        <v>8</v>
      </c>
      <c r="D14" s="4">
        <v>100</v>
      </c>
      <c r="F14" t="s">
        <v>7</v>
      </c>
      <c r="G14" s="1">
        <f>D13</f>
        <v>300</v>
      </c>
      <c r="H14" s="1">
        <v>293.32637154358844</v>
      </c>
      <c r="I14" s="1">
        <v>286.65274308717687</v>
      </c>
      <c r="J14" s="1">
        <v>279.97941889438357</v>
      </c>
      <c r="K14" s="1">
        <v>273.30609470159027</v>
      </c>
      <c r="L14" s="1">
        <v>266.63336573825325</v>
      </c>
      <c r="M14" s="1">
        <v>259.96063677491622</v>
      </c>
      <c r="N14" s="1">
        <v>253.28876799249022</v>
      </c>
      <c r="O14" s="1">
        <v>246.61689921006416</v>
      </c>
      <c r="P14" s="1">
        <v>239.9461179659703</v>
      </c>
      <c r="Q14" s="1">
        <v>233.27533672187639</v>
      </c>
      <c r="R14" s="1">
        <v>226.6058228428922</v>
      </c>
      <c r="S14" s="1">
        <v>219.93630896390792</v>
      </c>
      <c r="T14" s="1">
        <v>213.2681868868741</v>
      </c>
      <c r="U14" s="1">
        <v>206.60006480984021</v>
      </c>
      <c r="V14" s="1">
        <v>199.93339814317363</v>
      </c>
      <c r="W14" s="1">
        <v>193.266731476507</v>
      </c>
      <c r="X14" s="1">
        <v>186.60152022020762</v>
      </c>
      <c r="Y14" s="1">
        <v>179.93630896390823</v>
      </c>
      <c r="Z14" s="1">
        <v>173.27248950955919</v>
      </c>
      <c r="AA14" s="1">
        <v>166.60867005521015</v>
      </c>
      <c r="AB14" s="1">
        <v>159.94611796597076</v>
      </c>
      <c r="AC14" s="1">
        <v>153.28356587673133</v>
      </c>
      <c r="AD14" s="1">
        <v>146.62210132582402</v>
      </c>
      <c r="AE14" s="1">
        <v>139.96063677491674</v>
      </c>
      <c r="AF14" s="1">
        <v>133.30003240492033</v>
      </c>
      <c r="AG14" s="1">
        <v>126.63942803492394</v>
      </c>
      <c r="AH14" s="1">
        <v>119.97941889438385</v>
      </c>
      <c r="AI14" s="1">
        <v>113.31940975384376</v>
      </c>
      <c r="AJ14" s="1">
        <v>106.65970487692188</v>
      </c>
      <c r="AK14" s="1">
        <f>D14</f>
        <v>100</v>
      </c>
    </row>
    <row r="16" spans="3:37" x14ac:dyDescent="0.25">
      <c r="F16" t="s">
        <v>9</v>
      </c>
      <c r="H16">
        <f>H14+($D$11*$D$6/($D$10*$D$9))*((I14-2*H14+G14)/($D$5^2))</f>
        <v>293.32637154358844</v>
      </c>
      <c r="I16">
        <f t="shared" ref="I16:AJ16" si="1">I14+($D$11*$D$6/($D$10*$D$9))*((J14-2*I14+H14)/($D$5^2))</f>
        <v>286.65289521898603</v>
      </c>
      <c r="J16">
        <f t="shared" si="1"/>
        <v>279.97941889438357</v>
      </c>
      <c r="K16">
        <f t="shared" si="1"/>
        <v>273.30639231631841</v>
      </c>
      <c r="L16">
        <f t="shared" si="1"/>
        <v>266.63336573825325</v>
      </c>
      <c r="M16">
        <f t="shared" si="1"/>
        <v>259.96106686537172</v>
      </c>
      <c r="N16">
        <f t="shared" si="1"/>
        <v>253.28876799249019</v>
      </c>
      <c r="O16">
        <f t="shared" si="1"/>
        <v>246.61744297923025</v>
      </c>
      <c r="P16">
        <f t="shared" si="1"/>
        <v>239.94611796597027</v>
      </c>
      <c r="Q16">
        <f t="shared" si="1"/>
        <v>233.27597040443123</v>
      </c>
      <c r="R16">
        <f t="shared" si="1"/>
        <v>226.60582284289217</v>
      </c>
      <c r="S16">
        <f t="shared" si="1"/>
        <v>219.93700486488314</v>
      </c>
      <c r="T16">
        <f t="shared" si="1"/>
        <v>213.26818688687405</v>
      </c>
      <c r="U16">
        <f t="shared" si="1"/>
        <v>206.60079251502387</v>
      </c>
      <c r="V16">
        <f t="shared" si="1"/>
        <v>199.9333981431736</v>
      </c>
      <c r="W16">
        <f t="shared" si="1"/>
        <v>193.26745918169064</v>
      </c>
      <c r="X16">
        <f t="shared" si="1"/>
        <v>186.60152022020762</v>
      </c>
      <c r="Y16">
        <f t="shared" si="1"/>
        <v>179.93700486488342</v>
      </c>
      <c r="Z16">
        <f t="shared" si="1"/>
        <v>173.27248950955919</v>
      </c>
      <c r="AA16">
        <f t="shared" si="1"/>
        <v>166.60930373776498</v>
      </c>
      <c r="AB16">
        <f t="shared" si="1"/>
        <v>159.94611796597076</v>
      </c>
      <c r="AC16">
        <f t="shared" si="1"/>
        <v>153.28410964589739</v>
      </c>
      <c r="AD16">
        <f t="shared" si="1"/>
        <v>146.62210132582402</v>
      </c>
      <c r="AE16">
        <f t="shared" si="1"/>
        <v>139.96106686537217</v>
      </c>
      <c r="AF16">
        <f t="shared" si="1"/>
        <v>133.30003240492033</v>
      </c>
      <c r="AG16">
        <f t="shared" si="1"/>
        <v>126.63972564965209</v>
      </c>
      <c r="AH16">
        <f t="shared" si="1"/>
        <v>119.97941889438385</v>
      </c>
      <c r="AI16">
        <f t="shared" si="1"/>
        <v>113.31956188565286</v>
      </c>
      <c r="AJ16">
        <f t="shared" si="1"/>
        <v>106.65970487692188</v>
      </c>
    </row>
    <row r="17" spans="7:7" x14ac:dyDescent="0.25">
      <c r="G17" s="6"/>
    </row>
  </sheetData>
  <conditionalFormatting sqref="G14:AK14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5"/>
  <sheetViews>
    <sheetView topLeftCell="D1" zoomScale="85" zoomScaleNormal="85" workbookViewId="0">
      <selection activeCell="E10" sqref="E10:AJ14"/>
    </sheetView>
  </sheetViews>
  <sheetFormatPr defaultRowHeight="15" x14ac:dyDescent="0.25"/>
  <sheetData>
    <row r="3" spans="2:36" x14ac:dyDescent="0.25">
      <c r="B3" s="4" t="s">
        <v>0</v>
      </c>
      <c r="C3" s="4">
        <v>0.1</v>
      </c>
    </row>
    <row r="4" spans="2:36" x14ac:dyDescent="0.25">
      <c r="B4" s="4" t="s">
        <v>1</v>
      </c>
      <c r="C4" s="5">
        <f>C3/"30"</f>
        <v>3.3333333333333335E-3</v>
      </c>
    </row>
    <row r="5" spans="2:36" x14ac:dyDescent="0.25">
      <c r="B5" s="4" t="s">
        <v>2</v>
      </c>
      <c r="C5" s="5">
        <f>(C8*C9*C4^2)/(2*C10)</f>
        <v>0.4333333333333334</v>
      </c>
    </row>
    <row r="6" spans="2:36" x14ac:dyDescent="0.25">
      <c r="B6" s="4" t="s">
        <v>3</v>
      </c>
      <c r="C6" s="4">
        <v>500</v>
      </c>
      <c r="D6">
        <v>0</v>
      </c>
    </row>
    <row r="7" spans="2:36" x14ac:dyDescent="0.25">
      <c r="B7" s="1"/>
      <c r="C7" s="1"/>
    </row>
    <row r="8" spans="2:36" x14ac:dyDescent="0.25">
      <c r="B8" s="4" t="s">
        <v>4</v>
      </c>
      <c r="C8" s="4">
        <v>460</v>
      </c>
    </row>
    <row r="9" spans="2:36" x14ac:dyDescent="0.25">
      <c r="B9" s="4" t="s">
        <v>5</v>
      </c>
      <c r="C9" s="4">
        <v>7800</v>
      </c>
    </row>
    <row r="10" spans="2:36" x14ac:dyDescent="0.25">
      <c r="B10" s="4" t="s">
        <v>6</v>
      </c>
      <c r="C10" s="4">
        <v>46</v>
      </c>
      <c r="E10" s="2" t="s">
        <v>10</v>
      </c>
      <c r="F10" s="4">
        <v>1</v>
      </c>
      <c r="G10" s="4">
        <v>2</v>
      </c>
      <c r="H10" s="4">
        <v>3</v>
      </c>
      <c r="I10" s="4">
        <v>4</v>
      </c>
      <c r="J10" s="4">
        <v>5</v>
      </c>
      <c r="K10" s="4">
        <v>6</v>
      </c>
      <c r="L10" s="4">
        <v>7</v>
      </c>
      <c r="M10" s="4">
        <v>8</v>
      </c>
      <c r="N10" s="4">
        <v>9</v>
      </c>
      <c r="O10" s="4">
        <v>10</v>
      </c>
      <c r="P10" s="4">
        <v>11</v>
      </c>
      <c r="Q10" s="4">
        <v>12</v>
      </c>
      <c r="R10" s="4">
        <v>13</v>
      </c>
      <c r="S10" s="4">
        <v>14</v>
      </c>
      <c r="T10" s="4">
        <v>15</v>
      </c>
      <c r="U10" s="4">
        <v>16</v>
      </c>
      <c r="V10" s="4">
        <v>17</v>
      </c>
      <c r="W10" s="4">
        <v>18</v>
      </c>
      <c r="X10" s="4">
        <v>19</v>
      </c>
      <c r="Y10" s="4">
        <v>20</v>
      </c>
      <c r="Z10" s="4">
        <v>21</v>
      </c>
      <c r="AA10" s="4">
        <v>22</v>
      </c>
      <c r="AB10" s="4">
        <v>23</v>
      </c>
      <c r="AC10" s="4">
        <v>24</v>
      </c>
      <c r="AD10" s="4">
        <v>25</v>
      </c>
      <c r="AE10" s="4">
        <v>26</v>
      </c>
      <c r="AF10" s="4">
        <v>27</v>
      </c>
      <c r="AG10" s="4">
        <v>28</v>
      </c>
      <c r="AH10" s="4">
        <v>29</v>
      </c>
      <c r="AI10" s="4">
        <v>30</v>
      </c>
      <c r="AJ10" s="4">
        <v>31</v>
      </c>
    </row>
    <row r="11" spans="2:36" x14ac:dyDescent="0.25">
      <c r="B11" s="1"/>
      <c r="C11" s="1"/>
      <c r="E11" s="2" t="s">
        <v>0</v>
      </c>
      <c r="F11" s="4">
        <v>0</v>
      </c>
      <c r="G11" s="3">
        <f>F11+$C$4</f>
        <v>3.3333333333333335E-3</v>
      </c>
      <c r="H11" s="3">
        <f t="shared" ref="H11:AJ11" si="0">G11+$C$4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2:36" x14ac:dyDescent="0.25">
      <c r="B12" s="4" t="s">
        <v>12</v>
      </c>
      <c r="C12" s="4">
        <v>92000</v>
      </c>
      <c r="E12" t="s">
        <v>7</v>
      </c>
      <c r="F12" s="1">
        <f>(F15/$C$10)*$C$4+G12</f>
        <v>159.02278894997244</v>
      </c>
      <c r="G12" s="1">
        <v>152.35612228330578</v>
      </c>
      <c r="H12" s="1">
        <v>146.09046378206511</v>
      </c>
      <c r="I12" s="1">
        <v>140.21548272233372</v>
      </c>
      <c r="J12" s="1">
        <v>134.74731170192626</v>
      </c>
      <c r="K12" s="1">
        <v>129.65538473953768</v>
      </c>
      <c r="L12" s="1">
        <v>124.97116006421521</v>
      </c>
      <c r="M12" s="1">
        <v>120.64509648264981</v>
      </c>
      <c r="N12" s="1">
        <v>116.72240125795804</v>
      </c>
      <c r="O12" s="1">
        <v>113.13659709753325</v>
      </c>
      <c r="P12" s="1">
        <v>109.94436706879833</v>
      </c>
      <c r="Q12" s="1">
        <v>107.06502725199417</v>
      </c>
      <c r="R12" s="1">
        <v>104.56387203771669</v>
      </c>
      <c r="S12" s="1">
        <v>102.34931188743127</v>
      </c>
      <c r="T12" s="1">
        <v>100.49192980031469</v>
      </c>
      <c r="U12" s="1">
        <v>98.892959348769864</v>
      </c>
      <c r="V12" s="1">
        <v>97.624645833455247</v>
      </c>
      <c r="W12" s="1">
        <v>96.585039824712851</v>
      </c>
      <c r="X12" s="1">
        <v>95.844288267055106</v>
      </c>
      <c r="Y12" s="1">
        <v>95.301343570644832</v>
      </c>
      <c r="Z12" s="1">
        <v>95.020535436380186</v>
      </c>
      <c r="AA12" s="1">
        <v>94.905715754312041</v>
      </c>
      <c r="AB12" s="1">
        <v>95.0118947872121</v>
      </c>
      <c r="AC12" s="1">
        <v>95.25156015978618</v>
      </c>
      <c r="AD12" s="1">
        <v>95.667282858802139</v>
      </c>
      <c r="AE12" s="1">
        <v>96.183498721543884</v>
      </c>
      <c r="AF12" s="1">
        <v>96.827750712707086</v>
      </c>
      <c r="AG12" s="1">
        <v>97.539168334543717</v>
      </c>
      <c r="AH12" s="1">
        <v>98.328333769172787</v>
      </c>
      <c r="AI12" s="1">
        <v>99.151131039687058</v>
      </c>
      <c r="AJ12" s="1">
        <f>C13</f>
        <v>100</v>
      </c>
    </row>
    <row r="13" spans="2:36" x14ac:dyDescent="0.25">
      <c r="B13" s="4" t="s">
        <v>8</v>
      </c>
      <c r="C13" s="4">
        <v>100</v>
      </c>
    </row>
    <row r="14" spans="2:36" x14ac:dyDescent="0.25">
      <c r="E14" t="s">
        <v>9</v>
      </c>
      <c r="G14">
        <f>G12+($C$10*$C$5/($C$9*$C$8))*((H12-2*G12+F12)/($C$4^2))</f>
        <v>152.55662636601878</v>
      </c>
      <c r="H14">
        <f t="shared" ref="H14:AI14" si="1">H12+($C$10*$C$5/($C$9*$C$8))*((I12-2*H12+G12)/($C$4^2))</f>
        <v>146.28580250281976</v>
      </c>
      <c r="I14">
        <f t="shared" si="1"/>
        <v>140.41888774199569</v>
      </c>
      <c r="J14">
        <f t="shared" si="1"/>
        <v>134.9354337309357</v>
      </c>
      <c r="K14">
        <f t="shared" si="1"/>
        <v>129.85923588307074</v>
      </c>
      <c r="L14">
        <f t="shared" si="1"/>
        <v>125.15024061109375</v>
      </c>
      <c r="M14">
        <f t="shared" si="1"/>
        <v>120.84678066108663</v>
      </c>
      <c r="N14">
        <f t="shared" si="1"/>
        <v>116.89084679009153</v>
      </c>
      <c r="O14">
        <f t="shared" si="1"/>
        <v>113.33338416337818</v>
      </c>
      <c r="P14">
        <f t="shared" si="1"/>
        <v>110.10081217476372</v>
      </c>
      <c r="Q14">
        <f t="shared" si="1"/>
        <v>107.25411955325751</v>
      </c>
      <c r="R14">
        <f t="shared" si="1"/>
        <v>104.70716956971272</v>
      </c>
      <c r="S14">
        <f t="shared" si="1"/>
        <v>102.52790091901569</v>
      </c>
      <c r="T14">
        <f t="shared" si="1"/>
        <v>100.62113561810057</v>
      </c>
      <c r="U14">
        <f t="shared" si="1"/>
        <v>99.05828781688497</v>
      </c>
      <c r="V14">
        <f t="shared" si="1"/>
        <v>97.738999586741357</v>
      </c>
      <c r="W14">
        <f t="shared" si="1"/>
        <v>96.734467050255176</v>
      </c>
      <c r="X14">
        <f t="shared" si="1"/>
        <v>95.943191697678841</v>
      </c>
      <c r="Y14">
        <f t="shared" si="1"/>
        <v>95.432411851717646</v>
      </c>
      <c r="Z14">
        <f t="shared" si="1"/>
        <v>95.103529662478437</v>
      </c>
      <c r="AA14">
        <f t="shared" si="1"/>
        <v>95.016215111796143</v>
      </c>
      <c r="AB14">
        <f t="shared" si="1"/>
        <v>95.078637957049111</v>
      </c>
      <c r="AC14">
        <f t="shared" si="1"/>
        <v>95.339588823007119</v>
      </c>
      <c r="AD14">
        <f t="shared" si="1"/>
        <v>95.717529440665032</v>
      </c>
      <c r="AE14">
        <f t="shared" si="1"/>
        <v>96.247516785754613</v>
      </c>
      <c r="AF14">
        <f t="shared" si="1"/>
        <v>96.861333528043801</v>
      </c>
      <c r="AG14">
        <f t="shared" si="1"/>
        <v>97.578042240939936</v>
      </c>
      <c r="AH14">
        <f t="shared" si="1"/>
        <v>98.345149687115395</v>
      </c>
      <c r="AI14">
        <f t="shared" si="1"/>
        <v>99.164166884586393</v>
      </c>
    </row>
    <row r="15" spans="2:36" x14ac:dyDescent="0.25">
      <c r="E15" t="s">
        <v>11</v>
      </c>
      <c r="F15" s="6">
        <f>C12</f>
        <v>92000</v>
      </c>
      <c r="G15">
        <f>-$C$10*((G12-F12)/$C$4)</f>
        <v>91999.999999999869</v>
      </c>
      <c r="H15">
        <f>-$C$10*((H12-G12)/$C$4)</f>
        <v>86466.087317121172</v>
      </c>
      <c r="I15">
        <f t="shared" ref="H15:AJ15" si="2">-$C$10*((I12-H12)/$C$4)</f>
        <v>81074.73862429327</v>
      </c>
      <c r="J15">
        <f t="shared" si="2"/>
        <v>75460.760081622851</v>
      </c>
      <c r="K15">
        <f t="shared" si="2"/>
        <v>70268.592080962451</v>
      </c>
      <c r="L15">
        <f t="shared" si="2"/>
        <v>64642.300519450066</v>
      </c>
      <c r="M15">
        <f t="shared" si="2"/>
        <v>59699.677425602611</v>
      </c>
      <c r="N15">
        <f t="shared" si="2"/>
        <v>54133.194100746354</v>
      </c>
      <c r="O15">
        <f t="shared" si="2"/>
        <v>49484.097413862044</v>
      </c>
      <c r="P15">
        <f t="shared" si="2"/>
        <v>44052.774396541972</v>
      </c>
      <c r="Q15">
        <f t="shared" si="2"/>
        <v>39734.889471897433</v>
      </c>
      <c r="R15">
        <f t="shared" si="2"/>
        <v>34515.94195702915</v>
      </c>
      <c r="S15">
        <f t="shared" si="2"/>
        <v>30560.930073938824</v>
      </c>
      <c r="T15">
        <f t="shared" si="2"/>
        <v>25631.872802208756</v>
      </c>
      <c r="U15">
        <f t="shared" si="2"/>
        <v>22065.792231318646</v>
      </c>
      <c r="V15">
        <f t="shared" si="2"/>
        <v>17502.726511341712</v>
      </c>
      <c r="W15">
        <f t="shared" si="2"/>
        <v>14346.562920645067</v>
      </c>
      <c r="X15">
        <f t="shared" si="2"/>
        <v>10222.371495676884</v>
      </c>
      <c r="Y15">
        <f t="shared" si="2"/>
        <v>7492.6368104617777</v>
      </c>
      <c r="Z15">
        <f t="shared" si="2"/>
        <v>3875.152252852115</v>
      </c>
      <c r="AA15">
        <f t="shared" si="2"/>
        <v>1584.511612540399</v>
      </c>
      <c r="AB15">
        <f t="shared" si="2"/>
        <v>-1465.2706540208098</v>
      </c>
      <c r="AC15">
        <f t="shared" si="2"/>
        <v>-3307.382141522311</v>
      </c>
      <c r="AD15">
        <f t="shared" si="2"/>
        <v>-5736.973246420228</v>
      </c>
      <c r="AE15">
        <f t="shared" si="2"/>
        <v>-7123.7789058360877</v>
      </c>
      <c r="AF15">
        <f t="shared" si="2"/>
        <v>-8890.6774780521864</v>
      </c>
      <c r="AG15">
        <f t="shared" si="2"/>
        <v>-9817.5631813455075</v>
      </c>
      <c r="AH15">
        <f t="shared" si="2"/>
        <v>-10890.482997881156</v>
      </c>
      <c r="AI15">
        <f t="shared" si="2"/>
        <v>-11354.602333096951</v>
      </c>
      <c r="AJ15">
        <f t="shared" si="2"/>
        <v>-11714.391652318593</v>
      </c>
    </row>
  </sheetData>
  <conditionalFormatting sqref="F12:AJ12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AJ14"/>
  <sheetViews>
    <sheetView tabSelected="1" topLeftCell="A4" workbookViewId="0">
      <selection activeCell="S24" sqref="S24"/>
    </sheetView>
  </sheetViews>
  <sheetFormatPr defaultRowHeight="15" x14ac:dyDescent="0.25"/>
  <sheetData>
    <row r="3" spans="2:36" x14ac:dyDescent="0.25">
      <c r="B3" s="4" t="s">
        <v>0</v>
      </c>
      <c r="C3" s="4">
        <v>0.1</v>
      </c>
    </row>
    <row r="4" spans="2:36" x14ac:dyDescent="0.25">
      <c r="B4" s="4" t="s">
        <v>1</v>
      </c>
      <c r="C4" s="5">
        <f>C3/"30"</f>
        <v>3.3333333333333335E-3</v>
      </c>
    </row>
    <row r="5" spans="2:36" x14ac:dyDescent="0.25">
      <c r="B5" s="4" t="s">
        <v>2</v>
      </c>
      <c r="C5" s="5">
        <f>(C8*C9*C4^2)/(2*C10)</f>
        <v>0.4333333333333334</v>
      </c>
    </row>
    <row r="6" spans="2:36" x14ac:dyDescent="0.25">
      <c r="B6" s="4" t="s">
        <v>3</v>
      </c>
      <c r="C6" s="4">
        <v>500</v>
      </c>
      <c r="D6">
        <v>0</v>
      </c>
    </row>
    <row r="7" spans="2:36" x14ac:dyDescent="0.25">
      <c r="B7" s="1"/>
      <c r="C7" s="1"/>
    </row>
    <row r="8" spans="2:36" x14ac:dyDescent="0.25">
      <c r="B8" s="4" t="s">
        <v>4</v>
      </c>
      <c r="C8" s="4">
        <v>460</v>
      </c>
    </row>
    <row r="9" spans="2:36" x14ac:dyDescent="0.25">
      <c r="B9" s="4" t="s">
        <v>5</v>
      </c>
      <c r="C9" s="4">
        <v>7800</v>
      </c>
    </row>
    <row r="10" spans="2:36" x14ac:dyDescent="0.25">
      <c r="B10" s="4" t="s">
        <v>6</v>
      </c>
      <c r="C10" s="4">
        <v>46</v>
      </c>
      <c r="E10" s="2" t="s">
        <v>10</v>
      </c>
      <c r="F10" s="4">
        <v>1</v>
      </c>
      <c r="G10" s="4">
        <v>2</v>
      </c>
      <c r="H10" s="4">
        <v>3</v>
      </c>
      <c r="I10" s="4">
        <v>4</v>
      </c>
      <c r="J10" s="4">
        <v>5</v>
      </c>
      <c r="K10" s="4">
        <v>6</v>
      </c>
      <c r="L10" s="4">
        <v>7</v>
      </c>
      <c r="M10" s="4">
        <v>8</v>
      </c>
      <c r="N10" s="4">
        <v>9</v>
      </c>
      <c r="O10" s="4">
        <v>10</v>
      </c>
      <c r="P10" s="4">
        <v>11</v>
      </c>
      <c r="Q10" s="4">
        <v>12</v>
      </c>
      <c r="R10" s="4">
        <v>13</v>
      </c>
      <c r="S10" s="4">
        <v>14</v>
      </c>
      <c r="T10" s="4">
        <v>15</v>
      </c>
      <c r="U10" s="4">
        <v>16</v>
      </c>
      <c r="V10" s="4">
        <v>17</v>
      </c>
      <c r="W10" s="4">
        <v>18</v>
      </c>
      <c r="X10" s="4">
        <v>19</v>
      </c>
      <c r="Y10" s="4">
        <v>20</v>
      </c>
      <c r="Z10" s="4">
        <v>21</v>
      </c>
      <c r="AA10" s="4">
        <v>22</v>
      </c>
      <c r="AB10" s="4">
        <v>23</v>
      </c>
      <c r="AC10" s="4">
        <v>24</v>
      </c>
      <c r="AD10" s="4">
        <v>25</v>
      </c>
      <c r="AE10" s="4">
        <v>26</v>
      </c>
      <c r="AF10" s="4">
        <v>27</v>
      </c>
      <c r="AG10" s="4">
        <v>28</v>
      </c>
      <c r="AH10" s="4">
        <v>29</v>
      </c>
      <c r="AI10" s="4">
        <v>30</v>
      </c>
      <c r="AJ10" s="4">
        <v>31</v>
      </c>
    </row>
    <row r="11" spans="2:36" x14ac:dyDescent="0.25">
      <c r="B11" s="1"/>
      <c r="C11" s="1"/>
      <c r="E11" s="2" t="s">
        <v>0</v>
      </c>
      <c r="F11" s="4">
        <v>0</v>
      </c>
      <c r="G11" s="3">
        <f>F11+$C$4</f>
        <v>3.3333333333333335E-3</v>
      </c>
      <c r="H11" s="3">
        <f t="shared" ref="H11:AJ11" si="0">G11+$C$4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2:36" x14ac:dyDescent="0.25">
      <c r="B12" s="4" t="s">
        <v>13</v>
      </c>
      <c r="C12" s="4">
        <v>300</v>
      </c>
      <c r="E12" t="s">
        <v>7</v>
      </c>
      <c r="F12" s="1">
        <f>(G12+C12*C14*C4/C10)/(1+C14*C4/C10)</f>
        <v>911.85625362651035</v>
      </c>
      <c r="G12" s="1">
        <v>916.28999459481838</v>
      </c>
      <c r="H12" s="1">
        <v>920.87441794333597</v>
      </c>
      <c r="I12" s="1">
        <v>925.61009032015772</v>
      </c>
      <c r="J12" s="1">
        <v>930.49713735841328</v>
      </c>
      <c r="K12" s="1">
        <v>935.53508777996228</v>
      </c>
      <c r="L12" s="1">
        <v>940.72310589868312</v>
      </c>
      <c r="M12" s="1">
        <v>946.05969058559549</v>
      </c>
      <c r="N12" s="1">
        <v>951.54305342997611</v>
      </c>
      <c r="O12" s="1">
        <v>957.17068626533489</v>
      </c>
      <c r="P12" s="1">
        <v>962.9398680488348</v>
      </c>
      <c r="Q12" s="1">
        <v>968.84712069120962</v>
      </c>
      <c r="R12" s="1">
        <v>974.88882200155604</v>
      </c>
      <c r="S12" s="1">
        <v>981.06057471315262</v>
      </c>
      <c r="T12" s="1">
        <v>987.35789814759278</v>
      </c>
      <c r="U12" s="1">
        <v>993.77553934853393</v>
      </c>
      <c r="V12" s="1">
        <v>1000.3082126571062</v>
      </c>
      <c r="W12" s="1">
        <v>1006.9498845739445</v>
      </c>
      <c r="X12" s="1">
        <v>1013.6945283620206</v>
      </c>
      <c r="Y12" s="1">
        <v>1020.5354155302895</v>
      </c>
      <c r="Z12" s="1">
        <v>1027.4658519831764</v>
      </c>
      <c r="AA12" s="1">
        <v>1034.4785087981431</v>
      </c>
      <c r="AB12" s="1">
        <v>1041.566107348905</v>
      </c>
      <c r="AC12" s="1">
        <v>1048.7208203431496</v>
      </c>
      <c r="AD12" s="1">
        <v>1055.934875717164</v>
      </c>
      <c r="AE12" s="1">
        <v>1063.2000557849901</v>
      </c>
      <c r="AF12" s="1">
        <v>1070.5081934275313</v>
      </c>
      <c r="AG12" s="1">
        <v>1077.8507928205713</v>
      </c>
      <c r="AH12" s="1">
        <v>1085.2193963525347</v>
      </c>
      <c r="AI12" s="1">
        <v>1092.6053449434808</v>
      </c>
      <c r="AJ12" s="1">
        <f>C13</f>
        <v>1100</v>
      </c>
    </row>
    <row r="13" spans="2:36" x14ac:dyDescent="0.25">
      <c r="B13" s="4" t="s">
        <v>8</v>
      </c>
      <c r="C13" s="4">
        <v>1100</v>
      </c>
    </row>
    <row r="14" spans="2:36" x14ac:dyDescent="0.25">
      <c r="B14" s="7" t="s">
        <v>14</v>
      </c>
      <c r="C14" s="7">
        <v>100</v>
      </c>
      <c r="E14" t="s">
        <v>9</v>
      </c>
      <c r="G14">
        <f>G12+($C$10*$C$5/($C$9*$C$8))*((H12-2*G12+F12)/($C$4^2))</f>
        <v>916.36533578492322</v>
      </c>
      <c r="H14">
        <f t="shared" ref="H14:AI14" si="1">H12+($C$10*$C$5/($C$9*$C$8))*((I12-2*H12+G12)/($C$4^2))</f>
        <v>920.95004245748805</v>
      </c>
      <c r="I14">
        <f t="shared" si="1"/>
        <v>925.68577765087457</v>
      </c>
      <c r="J14">
        <f t="shared" si="1"/>
        <v>930.57258905006006</v>
      </c>
      <c r="K14">
        <f t="shared" si="1"/>
        <v>935.6101216285482</v>
      </c>
      <c r="L14">
        <f t="shared" si="1"/>
        <v>940.79738918277894</v>
      </c>
      <c r="M14">
        <f t="shared" si="1"/>
        <v>946.13307966432967</v>
      </c>
      <c r="N14">
        <f t="shared" si="1"/>
        <v>951.61518842546525</v>
      </c>
      <c r="O14">
        <f t="shared" si="1"/>
        <v>957.24146073940551</v>
      </c>
      <c r="P14">
        <f t="shared" si="1"/>
        <v>963.00890347827226</v>
      </c>
      <c r="Q14">
        <f t="shared" si="1"/>
        <v>968.91434502519542</v>
      </c>
      <c r="R14">
        <f t="shared" si="1"/>
        <v>974.95384770218106</v>
      </c>
      <c r="S14">
        <f t="shared" si="1"/>
        <v>981.12336007457441</v>
      </c>
      <c r="T14">
        <f t="shared" si="1"/>
        <v>987.41805703084333</v>
      </c>
      <c r="U14">
        <f t="shared" si="1"/>
        <v>993.83305540234949</v>
      </c>
      <c r="V14">
        <f t="shared" si="1"/>
        <v>1000.3627119612393</v>
      </c>
      <c r="W14">
        <f t="shared" si="1"/>
        <v>1007.0013705095635</v>
      </c>
      <c r="X14">
        <f t="shared" si="1"/>
        <v>1013.7426500521169</v>
      </c>
      <c r="Y14">
        <f t="shared" si="1"/>
        <v>1020.5801901725986</v>
      </c>
      <c r="Z14">
        <f t="shared" si="1"/>
        <v>1027.5069621642162</v>
      </c>
      <c r="AA14">
        <f t="shared" si="1"/>
        <v>1034.5159796660407</v>
      </c>
      <c r="AB14">
        <f t="shared" si="1"/>
        <v>1041.5996645706464</v>
      </c>
      <c r="AC14">
        <f t="shared" si="1"/>
        <v>1048.7504915330346</v>
      </c>
      <c r="AD14">
        <f t="shared" si="1"/>
        <v>1055.9604380640699</v>
      </c>
      <c r="AE14">
        <f t="shared" si="1"/>
        <v>1063.2215345723475</v>
      </c>
      <c r="AF14">
        <f t="shared" si="1"/>
        <v>1070.5254243027807</v>
      </c>
      <c r="AG14">
        <f t="shared" si="1"/>
        <v>1077.863794890033</v>
      </c>
      <c r="AH14">
        <f t="shared" si="1"/>
        <v>1085.228068882026</v>
      </c>
      <c r="AI14">
        <f t="shared" si="1"/>
        <v>1092.6096981762673</v>
      </c>
    </row>
  </sheetData>
  <conditionalFormatting sqref="F12:AJ12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ГУ1</vt:lpstr>
      <vt:lpstr>ГУ2</vt:lpstr>
      <vt:lpstr>ГУ3</vt:lpstr>
    </vt:vector>
  </TitlesOfParts>
  <Company>Reanimator Extreme Edition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 2</cp:lastModifiedBy>
  <dcterms:created xsi:type="dcterms:W3CDTF">2021-09-17T06:57:53Z</dcterms:created>
  <dcterms:modified xsi:type="dcterms:W3CDTF">2021-12-09T21:53:31Z</dcterms:modified>
</cp:coreProperties>
</file>