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ЭтаКнига" defaultThemeVersion="124226"/>
  <bookViews>
    <workbookView xWindow="240" yWindow="60" windowWidth="20055" windowHeight="7950"/>
  </bookViews>
  <sheets>
    <sheet name="Лист1" sheetId="1" r:id="rId1"/>
    <sheet name="Лист2" sheetId="2" r:id="rId2"/>
    <sheet name="Лист3" sheetId="3" r:id="rId3"/>
  </sheets>
  <calcPr calcId="124519"/>
</workbook>
</file>

<file path=xl/calcChain.xml><?xml version="1.0" encoding="utf-8"?>
<calcChain xmlns="http://schemas.openxmlformats.org/spreadsheetml/2006/main">
  <c r="AK17" i="1"/>
  <c r="I17"/>
  <c r="J17"/>
  <c r="K17"/>
  <c r="L17"/>
  <c r="M17"/>
  <c r="N17"/>
  <c r="O17"/>
  <c r="P17"/>
  <c r="Q17"/>
  <c r="R17"/>
  <c r="S17"/>
  <c r="T17"/>
  <c r="U17"/>
  <c r="V17"/>
  <c r="W17"/>
  <c r="X17"/>
  <c r="Y17"/>
  <c r="Z17"/>
  <c r="AA17"/>
  <c r="AB17"/>
  <c r="AC17"/>
  <c r="AD17"/>
  <c r="AE17"/>
  <c r="AF17"/>
  <c r="AG17"/>
  <c r="AH17"/>
  <c r="AI17"/>
  <c r="AJ17"/>
  <c r="G14"/>
  <c r="H16" s="1"/>
  <c r="I16"/>
  <c r="J16"/>
  <c r="K16"/>
  <c r="L16"/>
  <c r="M16"/>
  <c r="N16"/>
  <c r="O16"/>
  <c r="P16"/>
  <c r="Q16"/>
  <c r="R16"/>
  <c r="S16"/>
  <c r="T16"/>
  <c r="U16"/>
  <c r="V16"/>
  <c r="W16"/>
  <c r="X16"/>
  <c r="Y16"/>
  <c r="Z16"/>
  <c r="AA16"/>
  <c r="AB16"/>
  <c r="AC16"/>
  <c r="AD16"/>
  <c r="AE16"/>
  <c r="AF16"/>
  <c r="AG16"/>
  <c r="AH16"/>
  <c r="AI16"/>
  <c r="AJ16"/>
  <c r="D6"/>
  <c r="I13"/>
  <c r="J13" s="1"/>
  <c r="K13" s="1"/>
  <c r="L13" s="1"/>
  <c r="M13" s="1"/>
  <c r="N13" s="1"/>
  <c r="O13" s="1"/>
  <c r="P13" s="1"/>
  <c r="Q13" s="1"/>
  <c r="R13" s="1"/>
  <c r="S13" s="1"/>
  <c r="T13" s="1"/>
  <c r="U13" s="1"/>
  <c r="V13" s="1"/>
  <c r="W13" s="1"/>
  <c r="X13" s="1"/>
  <c r="Y13" s="1"/>
  <c r="Z13" s="1"/>
  <c r="AA13" s="1"/>
  <c r="AB13" s="1"/>
  <c r="AC13" s="1"/>
  <c r="AD13" s="1"/>
  <c r="AE13" s="1"/>
  <c r="AF13" s="1"/>
  <c r="AG13" s="1"/>
  <c r="AH13" s="1"/>
  <c r="AI13" s="1"/>
  <c r="AJ13" s="1"/>
  <c r="AK13" s="1"/>
  <c r="H13"/>
  <c r="D5"/>
  <c r="H17" l="1"/>
</calcChain>
</file>

<file path=xl/sharedStrings.xml><?xml version="1.0" encoding="utf-8"?>
<sst xmlns="http://schemas.openxmlformats.org/spreadsheetml/2006/main" count="14" uniqueCount="13">
  <si>
    <t>L</t>
  </si>
  <si>
    <t>dx</t>
  </si>
  <si>
    <t>dt</t>
  </si>
  <si>
    <t>t</t>
  </si>
  <si>
    <t>Cp</t>
  </si>
  <si>
    <t>ro</t>
  </si>
  <si>
    <t>lambda</t>
  </si>
  <si>
    <t>T</t>
  </si>
  <si>
    <t>T_end</t>
  </si>
  <si>
    <t>T_iter</t>
  </si>
  <si>
    <t>№</t>
  </si>
  <si>
    <t>q</t>
  </si>
  <si>
    <t>q_start</t>
  </si>
</sst>
</file>

<file path=xl/styles.xml><?xml version="1.0" encoding="utf-8"?>
<styleSheet xmlns="http://schemas.openxmlformats.org/spreadsheetml/2006/main">
  <numFmts count="1">
    <numFmt numFmtId="165" formatCode="0.0000"/>
  </numFmts>
  <fonts count="1"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/>
    <xf numFmtId="165" fontId="0" fillId="0" borderId="1" xfId="0" applyNumberFormat="1" applyBorder="1"/>
    <xf numFmtId="0" fontId="0" fillId="0" borderId="1" xfId="0" applyBorder="1" applyAlignment="1">
      <alignment horizontal="center"/>
    </xf>
    <xf numFmtId="165" fontId="0" fillId="0" borderId="1" xfId="0" applyNumberFormat="1" applyBorder="1" applyAlignment="1">
      <alignment horizontal="center"/>
    </xf>
    <xf numFmtId="0" fontId="0" fillId="0" borderId="0" xfId="0" applyFill="1" applyBorder="1" applyAlignment="1">
      <alignment horizontal="center"/>
    </xf>
  </cellXfs>
  <cellStyles count="1">
    <cellStyle name="Обычный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plotArea>
      <c:layout/>
      <c:scatterChart>
        <c:scatterStyle val="smoothMarker"/>
        <c:ser>
          <c:idx val="0"/>
          <c:order val="0"/>
          <c:spPr>
            <a:ln w="381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Лист1!$G$13:$AK$13</c:f>
              <c:numCache>
                <c:formatCode>0.0000</c:formatCode>
                <c:ptCount val="31"/>
                <c:pt idx="0" formatCode="General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Лист1!$G$14:$AK$14</c:f>
              <c:numCache>
                <c:formatCode>General</c:formatCode>
                <c:ptCount val="31"/>
                <c:pt idx="0">
                  <c:v>297.8875494523607</c:v>
                </c:pt>
                <c:pt idx="1">
                  <c:v>291.22088278569402</c:v>
                </c:pt>
                <c:pt idx="2">
                  <c:v>284.56020408972864</c:v>
                </c:pt>
                <c:pt idx="3">
                  <c:v>277.90549639045753</c:v>
                </c:pt>
                <c:pt idx="4">
                  <c:v>271.25672578979015</c:v>
                </c:pt>
                <c:pt idx="5">
                  <c:v>264.61384155804308</c:v>
                </c:pt>
                <c:pt idx="6">
                  <c:v>257.97677628308361</c:v>
                </c:pt>
                <c:pt idx="7">
                  <c:v>251.34544605438498</c:v>
                </c:pt>
                <c:pt idx="8">
                  <c:v>244.71975070951896</c:v>
                </c:pt>
                <c:pt idx="9">
                  <c:v>238.09957410792845</c:v>
                </c:pt>
                <c:pt idx="10">
                  <c:v>231.48478447168389</c:v>
                </c:pt>
                <c:pt idx="11">
                  <c:v>224.87523474621503</c:v>
                </c:pt>
                <c:pt idx="12">
                  <c:v>218.27076303107862</c:v>
                </c:pt>
                <c:pt idx="13">
                  <c:v>211.67119302399649</c:v>
                </c:pt>
                <c:pt idx="14">
                  <c:v>205.07633453628213</c:v>
                </c:pt>
                <c:pt idx="15">
                  <c:v>198.48598401565795</c:v>
                </c:pt>
                <c:pt idx="16">
                  <c:v>191.89992513996944</c:v>
                </c:pt>
                <c:pt idx="17">
                  <c:v>185.31792941341024</c:v>
                </c:pt>
                <c:pt idx="18">
                  <c:v>178.73975683123032</c:v>
                </c:pt>
                <c:pt idx="19">
                  <c:v>172.16515654318783</c:v>
                </c:pt>
                <c:pt idx="20">
                  <c:v>165.5938675811436</c:v>
                </c:pt>
                <c:pt idx="21">
                  <c:v>159.02561958279426</c:v>
                </c:pt>
                <c:pt idx="22">
                  <c:v>152.46013357334874</c:v>
                </c:pt>
                <c:pt idx="23">
                  <c:v>145.89712274188517</c:v>
                </c:pt>
                <c:pt idx="24">
                  <c:v>139.33629326773377</c:v>
                </c:pt>
                <c:pt idx="25">
                  <c:v>132.77734514115028</c:v>
                </c:pt>
                <c:pt idx="26">
                  <c:v>126.21997302458827</c:v>
                </c:pt>
                <c:pt idx="27">
                  <c:v>119.66386710880364</c:v>
                </c:pt>
                <c:pt idx="28">
                  <c:v>113.10871399888977</c:v>
                </c:pt>
                <c:pt idx="29">
                  <c:v>106.55419759643186</c:v>
                </c:pt>
                <c:pt idx="30">
                  <c:v>100</c:v>
                </c:pt>
              </c:numCache>
            </c:numRef>
          </c:yVal>
          <c:smooth val="1"/>
        </c:ser>
        <c:axId val="84711680"/>
        <c:axId val="84710144"/>
      </c:scatterChart>
      <c:valAx>
        <c:axId val="84711680"/>
        <c:scaling>
          <c:orientation val="minMax"/>
          <c:max val="0.1"/>
          <c:min val="0"/>
        </c:scaling>
        <c:axPos val="b"/>
        <c:numFmt formatCode="#,##0.00" sourceLinked="0"/>
        <c:tickLblPos val="nextTo"/>
        <c:txPr>
          <a:bodyPr/>
          <a:lstStyle/>
          <a:p>
            <a:pPr>
              <a:defRPr sz="1400"/>
            </a:pPr>
            <a:endParaRPr lang="ru-RU"/>
          </a:p>
        </c:txPr>
        <c:crossAx val="84710144"/>
        <c:crosses val="autoZero"/>
        <c:crossBetween val="midCat"/>
      </c:valAx>
      <c:valAx>
        <c:axId val="84710144"/>
        <c:scaling>
          <c:orientation val="minMax"/>
          <c:max val="300"/>
          <c:min val="0"/>
        </c:scaling>
        <c:axPos val="l"/>
        <c:majorGridlines/>
        <c:numFmt formatCode="#,##0.0" sourceLinked="0"/>
        <c:tickLblPos val="nextTo"/>
        <c:txPr>
          <a:bodyPr/>
          <a:lstStyle/>
          <a:p>
            <a:pPr>
              <a:defRPr sz="1400"/>
            </a:pPr>
            <a:endParaRPr lang="ru-RU"/>
          </a:p>
        </c:txPr>
        <c:crossAx val="84711680"/>
        <c:crosses val="autoZero"/>
        <c:crossBetween val="midCat"/>
      </c:valAx>
    </c:plotArea>
    <c:plotVisOnly val="1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285751</xdr:colOff>
      <xdr:row>17</xdr:row>
      <xdr:rowOff>108857</xdr:rowOff>
    </xdr:from>
    <xdr:to>
      <xdr:col>16</xdr:col>
      <xdr:colOff>68036</xdr:colOff>
      <xdr:row>40</xdr:row>
      <xdr:rowOff>163286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C4:AK17"/>
  <sheetViews>
    <sheetView tabSelected="1" topLeftCell="C1" zoomScale="70" zoomScaleNormal="70" workbookViewId="0">
      <selection activeCell="H14" sqref="H14:AJ14"/>
    </sheetView>
  </sheetViews>
  <sheetFormatPr defaultRowHeight="15"/>
  <cols>
    <col min="3" max="4" width="9.140625" style="1" customWidth="1"/>
    <col min="7" max="7" width="6.42578125" bestFit="1" customWidth="1"/>
    <col min="8" max="8" width="10.28515625" bestFit="1" customWidth="1"/>
    <col min="9" max="37" width="7.140625" bestFit="1" customWidth="1"/>
  </cols>
  <sheetData>
    <row r="4" spans="3:37">
      <c r="C4" s="4" t="s">
        <v>0</v>
      </c>
      <c r="D4" s="4">
        <v>0.1</v>
      </c>
    </row>
    <row r="5" spans="3:37">
      <c r="C5" s="4" t="s">
        <v>1</v>
      </c>
      <c r="D5" s="5">
        <f>D4/"30"</f>
        <v>3.3333333333333335E-3</v>
      </c>
    </row>
    <row r="6" spans="3:37">
      <c r="C6" s="4" t="s">
        <v>2</v>
      </c>
      <c r="D6" s="5">
        <f>(D9*D10*D5^2)/(2*D11)</f>
        <v>0.4333333333333334</v>
      </c>
    </row>
    <row r="7" spans="3:37">
      <c r="C7" s="4" t="s">
        <v>3</v>
      </c>
      <c r="D7" s="4">
        <v>1500</v>
      </c>
      <c r="E7">
        <v>1500.2000000000003</v>
      </c>
    </row>
    <row r="9" spans="3:37">
      <c r="C9" s="4" t="s">
        <v>4</v>
      </c>
      <c r="D9" s="4">
        <v>460</v>
      </c>
    </row>
    <row r="10" spans="3:37">
      <c r="C10" s="4" t="s">
        <v>5</v>
      </c>
      <c r="D10" s="4">
        <v>7800</v>
      </c>
    </row>
    <row r="11" spans="3:37">
      <c r="C11" s="4" t="s">
        <v>6</v>
      </c>
      <c r="D11" s="4">
        <v>46</v>
      </c>
    </row>
    <row r="12" spans="3:37">
      <c r="F12" s="2" t="s">
        <v>10</v>
      </c>
      <c r="G12" s="4">
        <v>1</v>
      </c>
      <c r="H12" s="4">
        <v>2</v>
      </c>
      <c r="I12" s="4">
        <v>3</v>
      </c>
      <c r="J12" s="4">
        <v>4</v>
      </c>
      <c r="K12" s="4">
        <v>5</v>
      </c>
      <c r="L12" s="4">
        <v>6</v>
      </c>
      <c r="M12" s="4">
        <v>7</v>
      </c>
      <c r="N12" s="4">
        <v>8</v>
      </c>
      <c r="O12" s="4">
        <v>9</v>
      </c>
      <c r="P12" s="4">
        <v>10</v>
      </c>
      <c r="Q12" s="4">
        <v>11</v>
      </c>
      <c r="R12" s="4">
        <v>12</v>
      </c>
      <c r="S12" s="4">
        <v>13</v>
      </c>
      <c r="T12" s="4">
        <v>14</v>
      </c>
      <c r="U12" s="4">
        <v>15</v>
      </c>
      <c r="V12" s="4">
        <v>16</v>
      </c>
      <c r="W12" s="4">
        <v>17</v>
      </c>
      <c r="X12" s="4">
        <v>18</v>
      </c>
      <c r="Y12" s="4">
        <v>19</v>
      </c>
      <c r="Z12" s="4">
        <v>20</v>
      </c>
      <c r="AA12" s="4">
        <v>21</v>
      </c>
      <c r="AB12" s="4">
        <v>22</v>
      </c>
      <c r="AC12" s="4">
        <v>23</v>
      </c>
      <c r="AD12" s="4">
        <v>24</v>
      </c>
      <c r="AE12" s="4">
        <v>25</v>
      </c>
      <c r="AF12" s="4">
        <v>26</v>
      </c>
      <c r="AG12" s="4">
        <v>27</v>
      </c>
      <c r="AH12" s="4">
        <v>28</v>
      </c>
      <c r="AI12" s="4">
        <v>29</v>
      </c>
      <c r="AJ12" s="4">
        <v>30</v>
      </c>
      <c r="AK12" s="4">
        <v>31</v>
      </c>
    </row>
    <row r="13" spans="3:37">
      <c r="C13" s="4" t="s">
        <v>12</v>
      </c>
      <c r="D13" s="4">
        <v>92000</v>
      </c>
      <c r="F13" s="2" t="s">
        <v>0</v>
      </c>
      <c r="G13" s="4">
        <v>0</v>
      </c>
      <c r="H13" s="3">
        <f>G13+$D$5</f>
        <v>3.3333333333333335E-3</v>
      </c>
      <c r="I13" s="3">
        <f t="shared" ref="I13:AK13" si="0">H13+$D$5</f>
        <v>6.6666666666666671E-3</v>
      </c>
      <c r="J13" s="3">
        <f t="shared" si="0"/>
        <v>0.01</v>
      </c>
      <c r="K13" s="3">
        <f t="shared" si="0"/>
        <v>1.3333333333333334E-2</v>
      </c>
      <c r="L13" s="3">
        <f t="shared" si="0"/>
        <v>1.6666666666666666E-2</v>
      </c>
      <c r="M13" s="3">
        <f t="shared" si="0"/>
        <v>0.02</v>
      </c>
      <c r="N13" s="3">
        <f t="shared" si="0"/>
        <v>2.3333333333333334E-2</v>
      </c>
      <c r="O13" s="3">
        <f t="shared" si="0"/>
        <v>2.6666666666666668E-2</v>
      </c>
      <c r="P13" s="3">
        <f t="shared" si="0"/>
        <v>3.0000000000000002E-2</v>
      </c>
      <c r="Q13" s="3">
        <f t="shared" si="0"/>
        <v>3.3333333333333333E-2</v>
      </c>
      <c r="R13" s="3">
        <f t="shared" si="0"/>
        <v>3.6666666666666667E-2</v>
      </c>
      <c r="S13" s="3">
        <f t="shared" si="0"/>
        <v>0.04</v>
      </c>
      <c r="T13" s="3">
        <f t="shared" si="0"/>
        <v>4.3333333333333335E-2</v>
      </c>
      <c r="U13" s="3">
        <f t="shared" si="0"/>
        <v>4.6666666666666669E-2</v>
      </c>
      <c r="V13" s="3">
        <f t="shared" si="0"/>
        <v>0.05</v>
      </c>
      <c r="W13" s="3">
        <f t="shared" si="0"/>
        <v>5.3333333333333337E-2</v>
      </c>
      <c r="X13" s="3">
        <f t="shared" si="0"/>
        <v>5.6666666666666671E-2</v>
      </c>
      <c r="Y13" s="3">
        <f t="shared" si="0"/>
        <v>6.0000000000000005E-2</v>
      </c>
      <c r="Z13" s="3">
        <f t="shared" si="0"/>
        <v>6.3333333333333339E-2</v>
      </c>
      <c r="AA13" s="3">
        <f t="shared" si="0"/>
        <v>6.6666666666666666E-2</v>
      </c>
      <c r="AB13" s="3">
        <f t="shared" si="0"/>
        <v>6.9999999999999993E-2</v>
      </c>
      <c r="AC13" s="3">
        <f t="shared" si="0"/>
        <v>7.333333333333332E-2</v>
      </c>
      <c r="AD13" s="3">
        <f t="shared" si="0"/>
        <v>7.6666666666666647E-2</v>
      </c>
      <c r="AE13" s="3">
        <f t="shared" si="0"/>
        <v>7.9999999999999974E-2</v>
      </c>
      <c r="AF13" s="3">
        <f t="shared" si="0"/>
        <v>8.3333333333333301E-2</v>
      </c>
      <c r="AG13" s="3">
        <f t="shared" si="0"/>
        <v>8.6666666666666628E-2</v>
      </c>
      <c r="AH13" s="3">
        <f t="shared" si="0"/>
        <v>8.9999999999999955E-2</v>
      </c>
      <c r="AI13" s="3">
        <f t="shared" si="0"/>
        <v>9.3333333333333282E-2</v>
      </c>
      <c r="AJ13" s="3">
        <f t="shared" si="0"/>
        <v>9.6666666666666609E-2</v>
      </c>
      <c r="AK13" s="3">
        <f t="shared" si="0"/>
        <v>9.9999999999999936E-2</v>
      </c>
    </row>
    <row r="14" spans="3:37">
      <c r="C14" s="4" t="s">
        <v>8</v>
      </c>
      <c r="D14" s="4">
        <v>100</v>
      </c>
      <c r="F14" t="s">
        <v>7</v>
      </c>
      <c r="G14" s="1">
        <f>(G17/$D$11)*$D$5+H14</f>
        <v>297.8875494523607</v>
      </c>
      <c r="H14" s="1">
        <v>291.22088278569402</v>
      </c>
      <c r="I14" s="1">
        <v>284.56020408972864</v>
      </c>
      <c r="J14" s="1">
        <v>277.90549639045753</v>
      </c>
      <c r="K14" s="1">
        <v>271.25672578979015</v>
      </c>
      <c r="L14" s="1">
        <v>264.61384155804308</v>
      </c>
      <c r="M14" s="1">
        <v>257.97677628308361</v>
      </c>
      <c r="N14" s="1">
        <v>251.34544605438498</v>
      </c>
      <c r="O14" s="1">
        <v>244.71975070951896</v>
      </c>
      <c r="P14" s="1">
        <v>238.09957410792845</v>
      </c>
      <c r="Q14" s="1">
        <v>231.48478447168389</v>
      </c>
      <c r="R14" s="1">
        <v>224.87523474621503</v>
      </c>
      <c r="S14" s="1">
        <v>218.27076303107862</v>
      </c>
      <c r="T14" s="1">
        <v>211.67119302399649</v>
      </c>
      <c r="U14" s="1">
        <v>205.07633453628213</v>
      </c>
      <c r="V14" s="1">
        <v>198.48598401565795</v>
      </c>
      <c r="W14" s="1">
        <v>191.89992513996944</v>
      </c>
      <c r="X14" s="1">
        <v>185.31792941341024</v>
      </c>
      <c r="Y14" s="1">
        <v>178.73975683123032</v>
      </c>
      <c r="Z14" s="1">
        <v>172.16515654318783</v>
      </c>
      <c r="AA14" s="1">
        <v>165.5938675811436</v>
      </c>
      <c r="AB14" s="1">
        <v>159.02561958279426</v>
      </c>
      <c r="AC14" s="1">
        <v>152.46013357334874</v>
      </c>
      <c r="AD14" s="1">
        <v>145.89712274188517</v>
      </c>
      <c r="AE14" s="1">
        <v>139.33629326773377</v>
      </c>
      <c r="AF14" s="1">
        <v>132.77734514115028</v>
      </c>
      <c r="AG14" s="1">
        <v>126.21997302458827</v>
      </c>
      <c r="AH14" s="1">
        <v>119.66386710880364</v>
      </c>
      <c r="AI14" s="1">
        <v>113.10871399888977</v>
      </c>
      <c r="AJ14" s="1">
        <v>106.55419759643186</v>
      </c>
      <c r="AK14" s="1">
        <v>100</v>
      </c>
    </row>
    <row r="16" spans="3:37">
      <c r="F16" t="s">
        <v>9</v>
      </c>
      <c r="H16">
        <f>H14+($D$11*$D$6/($D$10*$D$9))*((I14-2*H14+G14)/($D$5^2))</f>
        <v>291.22387677104467</v>
      </c>
      <c r="I16">
        <f t="shared" ref="I16:AJ16" si="1">I14+($D$11*$D$6/($D$10*$D$9))*((J14-2*I14+H14)/($D$5^2))</f>
        <v>284.56318958807577</v>
      </c>
      <c r="J16">
        <f t="shared" si="1"/>
        <v>277.90846493975937</v>
      </c>
      <c r="K16">
        <f t="shared" si="1"/>
        <v>271.2596689742503</v>
      </c>
      <c r="L16">
        <f t="shared" si="1"/>
        <v>264.61675103643688</v>
      </c>
      <c r="M16">
        <f t="shared" si="1"/>
        <v>257.97964380621403</v>
      </c>
      <c r="N16">
        <f t="shared" si="1"/>
        <v>251.34826349630129</v>
      </c>
      <c r="O16">
        <f t="shared" si="1"/>
        <v>244.72251008115671</v>
      </c>
      <c r="P16">
        <f t="shared" si="1"/>
        <v>238.10226759060143</v>
      </c>
      <c r="Q16">
        <f t="shared" si="1"/>
        <v>231.48740442707174</v>
      </c>
      <c r="R16">
        <f t="shared" si="1"/>
        <v>224.87777375138126</v>
      </c>
      <c r="S16">
        <f t="shared" si="1"/>
        <v>218.27321388510575</v>
      </c>
      <c r="T16">
        <f t="shared" si="1"/>
        <v>211.67354878368036</v>
      </c>
      <c r="U16">
        <f t="shared" si="1"/>
        <v>205.07858851982724</v>
      </c>
      <c r="V16">
        <f t="shared" si="1"/>
        <v>198.48812983812579</v>
      </c>
      <c r="W16">
        <f t="shared" si="1"/>
        <v>191.90195671453409</v>
      </c>
      <c r="X16">
        <f t="shared" si="1"/>
        <v>185.31984098559988</v>
      </c>
      <c r="Y16">
        <f t="shared" si="1"/>
        <v>178.74154297829904</v>
      </c>
      <c r="Z16">
        <f t="shared" si="1"/>
        <v>172.16681220618696</v>
      </c>
      <c r="AA16">
        <f t="shared" si="1"/>
        <v>165.59538806299105</v>
      </c>
      <c r="AB16">
        <f t="shared" si="1"/>
        <v>159.02700057724616</v>
      </c>
      <c r="AC16">
        <f t="shared" si="1"/>
        <v>152.46137116233973</v>
      </c>
      <c r="AD16">
        <f t="shared" si="1"/>
        <v>145.89821342054125</v>
      </c>
      <c r="AE16">
        <f t="shared" si="1"/>
        <v>139.33723394151772</v>
      </c>
      <c r="AF16">
        <f t="shared" si="1"/>
        <v>132.77813314616103</v>
      </c>
      <c r="AG16">
        <f t="shared" si="1"/>
        <v>126.22060612497697</v>
      </c>
      <c r="AH16">
        <f t="shared" si="1"/>
        <v>119.66434351173902</v>
      </c>
      <c r="AI16">
        <f t="shared" si="1"/>
        <v>113.10903235261776</v>
      </c>
      <c r="AJ16">
        <f t="shared" si="1"/>
        <v>106.55435699944488</v>
      </c>
    </row>
    <row r="17" spans="6:37">
      <c r="F17" t="s">
        <v>11</v>
      </c>
      <c r="G17" s="6">
        <v>92000</v>
      </c>
      <c r="H17">
        <f>-$D$11*((H14-G14)/$D$5)</f>
        <v>92000.000000000247</v>
      </c>
      <c r="I17">
        <f t="shared" ref="I17:AJ17" si="2">-$D$11*((I14-H14)/$D$5)</f>
        <v>91917.366004322146</v>
      </c>
      <c r="J17">
        <f t="shared" si="2"/>
        <v>91834.966249941368</v>
      </c>
      <c r="K17">
        <f t="shared" si="2"/>
        <v>91753.034289209783</v>
      </c>
      <c r="L17">
        <f t="shared" si="2"/>
        <v>91671.802398109634</v>
      </c>
      <c r="M17">
        <f t="shared" si="2"/>
        <v>91591.500794440653</v>
      </c>
      <c r="N17">
        <f t="shared" si="2"/>
        <v>91512.357156041078</v>
      </c>
      <c r="O17">
        <f t="shared" si="2"/>
        <v>91434.595759151023</v>
      </c>
      <c r="P17">
        <f t="shared" si="2"/>
        <v>91358.437101949094</v>
      </c>
      <c r="Q17">
        <f t="shared" si="2"/>
        <v>91284.096980174814</v>
      </c>
      <c r="R17">
        <f t="shared" si="2"/>
        <v>91211.786211470346</v>
      </c>
      <c r="S17">
        <f t="shared" si="2"/>
        <v>91141.709668882482</v>
      </c>
      <c r="T17">
        <f t="shared" si="2"/>
        <v>91074.066097733274</v>
      </c>
      <c r="U17">
        <f t="shared" si="2"/>
        <v>91009.047130458173</v>
      </c>
      <c r="V17">
        <f t="shared" si="2"/>
        <v>90946.837184613745</v>
      </c>
      <c r="W17">
        <f t="shared" si="2"/>
        <v>90887.612484501398</v>
      </c>
      <c r="X17">
        <f t="shared" si="2"/>
        <v>90831.541026516948</v>
      </c>
      <c r="Y17">
        <f t="shared" si="2"/>
        <v>90778.781634082843</v>
      </c>
      <c r="Z17">
        <f t="shared" si="2"/>
        <v>90729.483974986346</v>
      </c>
      <c r="AA17">
        <f t="shared" si="2"/>
        <v>90683.787676210442</v>
      </c>
      <c r="AB17">
        <f t="shared" si="2"/>
        <v>90641.822377220815</v>
      </c>
      <c r="AC17">
        <f t="shared" si="2"/>
        <v>90603.706930348184</v>
      </c>
      <c r="AD17">
        <f t="shared" si="2"/>
        <v>90569.549474197294</v>
      </c>
      <c r="AE17">
        <f t="shared" si="2"/>
        <v>90539.446743289373</v>
      </c>
      <c r="AF17">
        <f t="shared" si="2"/>
        <v>90513.484146852119</v>
      </c>
      <c r="AG17">
        <f t="shared" si="2"/>
        <v>90491.735208555692</v>
      </c>
      <c r="AH17">
        <f t="shared" si="2"/>
        <v>90474.261637827847</v>
      </c>
      <c r="AI17">
        <f t="shared" si="2"/>
        <v>90461.112916811457</v>
      </c>
      <c r="AJ17">
        <f t="shared" si="2"/>
        <v>90452.32635391911</v>
      </c>
      <c r="AK17">
        <f>-$D$11*((AK14-AJ14)/$D$5)</f>
        <v>90447.926830759694</v>
      </c>
    </row>
  </sheetData>
  <conditionalFormatting sqref="G14:AK14">
    <cfRule type="colorScale" priority="1">
      <colorScale>
        <cfvo type="min" val="0"/>
        <cfvo type="percentile" val="50"/>
        <cfvo type="max" val="0"/>
        <color rgb="FF5A8AC6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Лист1</vt:lpstr>
      <vt:lpstr>Лист2</vt:lpstr>
      <vt:lpstr>Лист3</vt:lpstr>
    </vt:vector>
  </TitlesOfParts>
  <Company>Reanimator Extreme Edition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2021-09-17T06:57:53Z</dcterms:created>
  <dcterms:modified xsi:type="dcterms:W3CDTF">2021-09-17T09:10:38Z</dcterms:modified>
</cp:coreProperties>
</file>